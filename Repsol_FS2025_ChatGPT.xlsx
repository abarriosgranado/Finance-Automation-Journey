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angeles/Desktop/"/>
    </mc:Choice>
  </mc:AlternateContent>
  <xr:revisionPtr revIDLastSave="0" documentId="8_{48DA063B-7259-9C4B-B790-BA3BF2C41167}" xr6:coauthVersionLast="47" xr6:coauthVersionMax="47" xr10:uidLastSave="{00000000-0000-0000-0000-000000000000}"/>
  <bookViews>
    <workbookView xWindow="0" yWindow="680" windowWidth="34200" windowHeight="19660" xr2:uid="{00000000-000D-0000-FFFF-FFFF00000000}"/>
  </bookViews>
  <sheets>
    <sheet name="P&amp;L" sheetId="1" r:id="rId1"/>
    <sheet name="Balance Sheet" sheetId="2" r:id="rId2"/>
    <sheet name="Indirect CF" sheetId="3" r:id="rId3"/>
    <sheet name="Direct CF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4" l="1"/>
  <c r="C40" i="4"/>
  <c r="A40" i="4"/>
  <c r="D39" i="4"/>
  <c r="C39" i="4"/>
  <c r="A39" i="4"/>
  <c r="D38" i="4"/>
  <c r="C38" i="4"/>
  <c r="A38" i="4"/>
  <c r="D37" i="4"/>
  <c r="C37" i="4"/>
  <c r="A37" i="4"/>
  <c r="D36" i="4"/>
  <c r="C36" i="4"/>
  <c r="A36" i="4"/>
  <c r="D35" i="4"/>
  <c r="C35" i="4"/>
  <c r="B35" i="4"/>
  <c r="A35" i="4"/>
  <c r="D34" i="4"/>
  <c r="C34" i="4"/>
  <c r="B34" i="4"/>
  <c r="A34" i="4"/>
  <c r="D33" i="4"/>
  <c r="C33" i="4"/>
  <c r="A33" i="4"/>
  <c r="D32" i="4"/>
  <c r="C32" i="4"/>
  <c r="A32" i="4"/>
  <c r="D31" i="4"/>
  <c r="C31" i="4"/>
  <c r="B31" i="4"/>
  <c r="A31" i="4"/>
  <c r="D30" i="4"/>
  <c r="C30" i="4"/>
  <c r="B30" i="4"/>
  <c r="A30" i="4"/>
  <c r="D29" i="4"/>
  <c r="C29" i="4"/>
  <c r="B29" i="4"/>
  <c r="A29" i="4"/>
  <c r="D28" i="4"/>
  <c r="C28" i="4"/>
  <c r="A28" i="4"/>
  <c r="D27" i="4"/>
  <c r="C27" i="4"/>
  <c r="A27" i="4"/>
  <c r="D26" i="4"/>
  <c r="C26" i="4"/>
  <c r="B26" i="4"/>
  <c r="A26" i="4"/>
  <c r="D25" i="4"/>
  <c r="C25" i="4"/>
  <c r="B25" i="4"/>
  <c r="A25" i="4"/>
  <c r="D24" i="4"/>
  <c r="C24" i="4"/>
  <c r="B24" i="4"/>
  <c r="A24" i="4"/>
  <c r="D23" i="4"/>
  <c r="C23" i="4"/>
  <c r="A23" i="4"/>
  <c r="D22" i="4"/>
  <c r="C22" i="4"/>
  <c r="B22" i="4"/>
  <c r="A22" i="4"/>
  <c r="D21" i="4"/>
  <c r="C21" i="4"/>
  <c r="B21" i="4"/>
  <c r="A21" i="4"/>
  <c r="D20" i="4"/>
  <c r="C20" i="4"/>
  <c r="B20" i="4"/>
  <c r="A20" i="4"/>
  <c r="D19" i="4"/>
  <c r="C19" i="4"/>
  <c r="A19" i="4"/>
  <c r="D18" i="4"/>
  <c r="C18" i="4"/>
  <c r="A18" i="4"/>
  <c r="D17" i="4"/>
  <c r="C17" i="4"/>
  <c r="A17" i="4"/>
  <c r="D16" i="4"/>
  <c r="C16" i="4"/>
  <c r="B16" i="4"/>
  <c r="A16" i="4"/>
  <c r="D15" i="4"/>
  <c r="C15" i="4"/>
  <c r="A15" i="4"/>
  <c r="D14" i="4"/>
  <c r="C14" i="4"/>
  <c r="B14" i="4"/>
  <c r="A14" i="4"/>
  <c r="D13" i="4"/>
  <c r="C13" i="4"/>
  <c r="B13" i="4"/>
  <c r="A13" i="4"/>
  <c r="D12" i="4"/>
  <c r="C12" i="4"/>
  <c r="B12" i="4"/>
  <c r="A12" i="4"/>
  <c r="D11" i="4"/>
  <c r="C11" i="4"/>
  <c r="B11" i="4"/>
  <c r="A11" i="4"/>
  <c r="D10" i="4"/>
  <c r="C10" i="4"/>
  <c r="B10" i="4"/>
  <c r="A10" i="4"/>
  <c r="D9" i="4"/>
  <c r="C9" i="4"/>
  <c r="B9" i="4"/>
  <c r="A9" i="4"/>
  <c r="D8" i="4"/>
  <c r="C8" i="4"/>
  <c r="B8" i="4"/>
  <c r="B15" i="4" s="1"/>
  <c r="A8" i="4"/>
  <c r="D7" i="4"/>
  <c r="C7" i="4"/>
  <c r="B7" i="4"/>
  <c r="A7" i="4"/>
  <c r="D6" i="4"/>
  <c r="C6" i="4"/>
  <c r="B6" i="4"/>
  <c r="A6" i="4"/>
  <c r="D5" i="4"/>
  <c r="C5" i="4"/>
  <c r="B5" i="4"/>
  <c r="B38" i="4" s="1"/>
  <c r="A5" i="4"/>
  <c r="D4" i="4"/>
  <c r="C4" i="4"/>
  <c r="B4" i="4"/>
  <c r="A4" i="4"/>
  <c r="A2" i="4"/>
  <c r="A1" i="4"/>
  <c r="D34" i="3"/>
  <c r="C34" i="3"/>
  <c r="A34" i="3"/>
  <c r="D33" i="3"/>
  <c r="C33" i="3"/>
  <c r="A33" i="3"/>
  <c r="D32" i="3"/>
  <c r="C32" i="3"/>
  <c r="A32" i="3"/>
  <c r="D31" i="3"/>
  <c r="C31" i="3"/>
  <c r="A31" i="3"/>
  <c r="D30" i="3"/>
  <c r="C30" i="3"/>
  <c r="A30" i="3"/>
  <c r="D29" i="3"/>
  <c r="C29" i="3"/>
  <c r="B29" i="3"/>
  <c r="A29" i="3"/>
  <c r="D28" i="3"/>
  <c r="C28" i="3"/>
  <c r="B28" i="3"/>
  <c r="A28" i="3"/>
  <c r="D27" i="3"/>
  <c r="C27" i="3"/>
  <c r="A27" i="3"/>
  <c r="D26" i="3"/>
  <c r="C26" i="3"/>
  <c r="A26" i="3"/>
  <c r="D25" i="3"/>
  <c r="C25" i="3"/>
  <c r="B25" i="3"/>
  <c r="A25" i="3"/>
  <c r="D24" i="3"/>
  <c r="C24" i="3"/>
  <c r="A24" i="3"/>
  <c r="D23" i="3"/>
  <c r="C23" i="3"/>
  <c r="B23" i="3"/>
  <c r="A23" i="3"/>
  <c r="D22" i="3"/>
  <c r="C22" i="3"/>
  <c r="A22" i="3"/>
  <c r="D21" i="3"/>
  <c r="C21" i="3"/>
  <c r="B21" i="3"/>
  <c r="A21" i="3"/>
  <c r="D20" i="3"/>
  <c r="C20" i="3"/>
  <c r="B20" i="3"/>
  <c r="A20" i="3"/>
  <c r="D19" i="3"/>
  <c r="C19" i="3"/>
  <c r="B19" i="3"/>
  <c r="A19" i="3"/>
  <c r="D18" i="3"/>
  <c r="C18" i="3"/>
  <c r="B18" i="3"/>
  <c r="A18" i="3"/>
  <c r="D17" i="3"/>
  <c r="C17" i="3"/>
  <c r="B17" i="3"/>
  <c r="A17" i="3"/>
  <c r="D16" i="3"/>
  <c r="C16" i="3"/>
  <c r="B16" i="3"/>
  <c r="A16" i="3"/>
  <c r="D15" i="3"/>
  <c r="C15" i="3"/>
  <c r="B15" i="3"/>
  <c r="A15" i="3"/>
  <c r="D14" i="3"/>
  <c r="C14" i="3"/>
  <c r="B14" i="3"/>
  <c r="A14" i="3"/>
  <c r="D13" i="3"/>
  <c r="C13" i="3"/>
  <c r="B13" i="3"/>
  <c r="A13" i="3"/>
  <c r="D12" i="3"/>
  <c r="C12" i="3"/>
  <c r="B12" i="3"/>
  <c r="A12" i="3"/>
  <c r="D11" i="3"/>
  <c r="C11" i="3"/>
  <c r="B11" i="3"/>
  <c r="A11" i="3"/>
  <c r="D10" i="3"/>
  <c r="C10" i="3"/>
  <c r="B10" i="3"/>
  <c r="A10" i="3"/>
  <c r="D9" i="3"/>
  <c r="C9" i="3"/>
  <c r="B9" i="3"/>
  <c r="A9" i="3"/>
  <c r="D8" i="3"/>
  <c r="C8" i="3"/>
  <c r="B8" i="3"/>
  <c r="A8" i="3"/>
  <c r="D7" i="3"/>
  <c r="C7" i="3"/>
  <c r="B7" i="3"/>
  <c r="B22" i="3" s="1"/>
  <c r="A7" i="3"/>
  <c r="D6" i="3"/>
  <c r="C6" i="3"/>
  <c r="B6" i="3"/>
  <c r="A6" i="3"/>
  <c r="D5" i="3"/>
  <c r="C5" i="3"/>
  <c r="B5" i="3"/>
  <c r="B32" i="3" s="1"/>
  <c r="A5" i="3"/>
  <c r="D4" i="3"/>
  <c r="C4" i="3"/>
  <c r="B4" i="3"/>
  <c r="A4" i="3"/>
  <c r="A2" i="3"/>
  <c r="A1" i="3"/>
  <c r="L29" i="2"/>
  <c r="B27" i="4" s="1"/>
  <c r="L25" i="2"/>
  <c r="B28" i="4" s="1"/>
  <c r="L15" i="2"/>
  <c r="B19" i="4" s="1"/>
  <c r="L12" i="2"/>
  <c r="B18" i="4" s="1"/>
  <c r="L8" i="2"/>
  <c r="B17" i="4" s="1"/>
  <c r="B32" i="4" l="1"/>
  <c r="B26" i="3" s="1"/>
  <c r="B23" i="4"/>
  <c r="B24" i="3" s="1"/>
  <c r="B27" i="3" s="1"/>
  <c r="B30" i="3" l="1"/>
  <c r="B31" i="3" s="1"/>
  <c r="B33" i="3" s="1"/>
  <c r="B34" i="3" s="1"/>
  <c r="B33" i="4"/>
  <c r="B36" i="4" l="1"/>
  <c r="B37" i="4" s="1"/>
  <c r="B39" i="4" s="1"/>
  <c r="B40" i="4" s="1"/>
</calcChain>
</file>

<file path=xl/sharedStrings.xml><?xml version="1.0" encoding="utf-8"?>
<sst xmlns="http://schemas.openxmlformats.org/spreadsheetml/2006/main" count="374" uniqueCount="265">
  <si>
    <t>Repsol Consolidated Income Statement</t>
  </si>
  <si>
    <t>EUR thousands, no decimals. Source PDF figures in EUR millions multiplied by 1,000.</t>
  </si>
  <si>
    <t>Line item</t>
  </si>
  <si>
    <t>2025</t>
  </si>
  <si>
    <t>2024</t>
  </si>
  <si>
    <t>Source / audit note</t>
  </si>
  <si>
    <t>Sales</t>
  </si>
  <si>
    <t>Income statement, PDF p. 14</t>
  </si>
  <si>
    <t>Income from services rendered and other income</t>
  </si>
  <si>
    <t>Changes in inventories of finished goods and work in progress</t>
  </si>
  <si>
    <t>Procurements</t>
  </si>
  <si>
    <t>Amortization and depreciation of non-current assets</t>
  </si>
  <si>
    <t>(Charges for)/Reversal of impairment</t>
  </si>
  <si>
    <t>Personnel expenses</t>
  </si>
  <si>
    <t>Transport and freights</t>
  </si>
  <si>
    <t>Supplies</t>
  </si>
  <si>
    <t>Gains/(Losses) on disposal and derecognition of assets</t>
  </si>
  <si>
    <t>Other operating income/(expenses)</t>
  </si>
  <si>
    <t>OPERATING INCOME/(LOSS)</t>
  </si>
  <si>
    <t>Interest income</t>
  </si>
  <si>
    <t>Interest expenses</t>
  </si>
  <si>
    <t>Change in fair value of financial instruments</t>
  </si>
  <si>
    <t>Exchange gains/(losses)</t>
  </si>
  <si>
    <t>(Provision for)/Reversal of impairment of financial instruments</t>
  </si>
  <si>
    <t>Other financial income and expenses</t>
  </si>
  <si>
    <t>FINANCIAL RESULT</t>
  </si>
  <si>
    <t>Net income from investments accounted for using the equity method</t>
  </si>
  <si>
    <t>NET INCOME/(LOSS) BEFORE TAX</t>
  </si>
  <si>
    <t>Income tax</t>
  </si>
  <si>
    <t>CONSOLIDATED NET INCOME / (LOSS) FOR THE PERIOD</t>
  </si>
  <si>
    <t>Net income attributable to non-controlling interests</t>
  </si>
  <si>
    <t>TOTAL NET INCOME ATTRIBUTABLE TO THE PARENT</t>
  </si>
  <si>
    <t>Memo: EPS shown in EUR/share, not EUR thousands</t>
  </si>
  <si>
    <t>Basic EPS attributable to the parent (EUR/share)</t>
  </si>
  <si>
    <t>Diluted EPS attributable to the parent (EUR/share)</t>
  </si>
  <si>
    <t>Repsol Consolidated Balance Sheet</t>
  </si>
  <si>
    <t>Source-backed cash flow support</t>
  </si>
  <si>
    <t>Repsol Cash Flow Statement - Direct Method</t>
  </si>
  <si>
    <t>Repsol Cash Flow Statement - Indirect Method</t>
  </si>
  <si>
    <t>EUR thousands, no decimals. Equity is expanded using the statement of changes in equity; retained earnings/reserves are separated from net income.</t>
  </si>
  <si>
    <t>Support data used by cash flow formulas; the published cash flow statement was not used as an input.</t>
  </si>
  <si>
    <t>Reconstructed from P&amp;L, balance sheet, equity roll-forward and selected source notes; the published cash flow statement was not used.</t>
  </si>
  <si>
    <t>12/31/2025</t>
  </si>
  <si>
    <t>12/31/2024</t>
  </si>
  <si>
    <t>Source / logic</t>
  </si>
  <si>
    <t>Technical treatment</t>
  </si>
  <si>
    <t>Formula / source logic</t>
  </si>
  <si>
    <t>Technical note</t>
  </si>
  <si>
    <t>ASSETS</t>
  </si>
  <si>
    <t>PPE investments</t>
  </si>
  <si>
    <t>Note 17, PDF p. 69</t>
  </si>
  <si>
    <t>Gross investments in property, plant and equipment.</t>
  </si>
  <si>
    <t>Beginning cash and cash equivalents</t>
  </si>
  <si>
    <t>Prior-year balance sheet cash</t>
  </si>
  <si>
    <t>Intangible assets</t>
  </si>
  <si>
    <t>Balance sheet, PDF p. 16</t>
  </si>
  <si>
    <t>Intangible investments</t>
  </si>
  <si>
    <t>Note 16, PDF p. 67</t>
  </si>
  <si>
    <t>Gross investments in other intangible assets.</t>
  </si>
  <si>
    <t>Cash flow from operating activities - direct method</t>
  </si>
  <si>
    <t>Cash flow from operating activities - indirect method</t>
  </si>
  <si>
    <t>Property, plant and equipment</t>
  </si>
  <si>
    <t>New lease registrations/cancellations</t>
  </si>
  <si>
    <t>Note 17, PDF p. 71</t>
  </si>
  <si>
    <t>Non-cash lease additions excluded from cash capex proxy.</t>
  </si>
  <si>
    <t>Cash receipts from customers</t>
  </si>
  <si>
    <t>Sales + services/other income - increase in trade receivables</t>
  </si>
  <si>
    <t>Uses trade and other receivables because customer receivables are not separately disclosed in the balance sheet.</t>
  </si>
  <si>
    <t>Consolidated net income</t>
  </si>
  <si>
    <t>Starts from net income, per user request</t>
  </si>
  <si>
    <t>Investments accounted for using the equity method</t>
  </si>
  <si>
    <t>Cash capex proxy</t>
  </si>
  <si>
    <t>Formula: PPE + intangibles - new leases</t>
  </si>
  <si>
    <t>Proxy because the note states PPE investments include lease additions.</t>
  </si>
  <si>
    <t>Cash paid to suppliers and other operating costs</t>
  </si>
  <si>
    <t>Procurements + transport + supplies + other opex - inventory increase + payables increase</t>
  </si>
  <si>
    <t>Trade payables are not separately disclosed; this uses the reported trade and other payables line.</t>
  </si>
  <si>
    <t>Add back: amortization and depreciation</t>
  </si>
  <si>
    <t>Reverse non-cash D&amp;A expense</t>
  </si>
  <si>
    <t>Non-current financial assets</t>
  </si>
  <si>
    <t>PPE net carrying amount derecognized</t>
  </si>
  <si>
    <t>Note 17, PDF pp. 69-70</t>
  </si>
  <si>
    <t>Gross derecognitions of 835 less accumulated depreciation derecognized of 737.</t>
  </si>
  <si>
    <t>Less: dividend payable accrued in trade payables</t>
  </si>
  <si>
    <t>Reclass non-operating payable out of supplier payments</t>
  </si>
  <si>
    <t>January 2026 shareholder remuneration was accrued in 2025 trade payables, not paid in 2025.</t>
  </si>
  <si>
    <t>Adjust: impairment charge/(reversal)</t>
  </si>
  <si>
    <t>Reverse P&amp;L impairment charge/reversal line</t>
  </si>
  <si>
    <t>Deferred tax assets</t>
  </si>
  <si>
    <t>Intangible net carrying amount derecognized</t>
  </si>
  <si>
    <t>Gross derecognitions of 177 less accumulated amortization derecognized of 136.</t>
  </si>
  <si>
    <t>Cash paid to employees</t>
  </si>
  <si>
    <t>Personnel expense used as cash proxy</t>
  </si>
  <si>
    <t>Payroll accrual balances are not separately disclosed.</t>
  </si>
  <si>
    <t>Adjust: equity method income</t>
  </si>
  <si>
    <t>Remove equity-accounted income before dividends/cash movements</t>
  </si>
  <si>
    <t>Other non-current assets</t>
  </si>
  <si>
    <t>Gain on disposal and derecognition</t>
  </si>
  <si>
    <t>Used to estimate disposal proceeds where cash proceeds are not disclosed.</t>
  </si>
  <si>
    <t>Interest received</t>
  </si>
  <si>
    <t>Adjust: fair value of financial instruments</t>
  </si>
  <si>
    <t>Reverse mark-to-market P&amp;L movement</t>
  </si>
  <si>
    <t>NON-CURRENT ASSETS</t>
  </si>
  <si>
    <t>Disposal proceeds proxy</t>
  </si>
  <si>
    <t>Formula: net carrying amount derecognized + gain/loss</t>
  </si>
  <si>
    <t>Proxy, not a plug.</t>
  </si>
  <si>
    <t>Interest paid</t>
  </si>
  <si>
    <t>Interest expense</t>
  </si>
  <si>
    <t>Adjust: exchange gains/(losses)</t>
  </si>
  <si>
    <t>Reverse P&amp;L FX gain/loss where cash effect is not separately observable</t>
  </si>
  <si>
    <t>Non-current assets held for sale</t>
  </si>
  <si>
    <t>Equity-method net investments</t>
  </si>
  <si>
    <t>Note 18, PDF p. 72</t>
  </si>
  <si>
    <t>Reported roll-forward line. Treated as investing outflow.</t>
  </si>
  <si>
    <t>Income taxes paid/accrued</t>
  </si>
  <si>
    <t>Income tax expense used as cash proxy</t>
  </si>
  <si>
    <t>Current tax payable/receivable movements are not separately disclosed.</t>
  </si>
  <si>
    <t>Adjust: gains/(losses) on disposal and derecognition</t>
  </si>
  <si>
    <t>Remove disposal result from operating cash flow</t>
  </si>
  <si>
    <t>Inventories</t>
  </si>
  <si>
    <t>Dividends from equity-accounted investments</t>
  </si>
  <si>
    <t>Reported roll-forward line. Treated as investing inflow.</t>
  </si>
  <si>
    <t>Cash settlements of provisions</t>
  </si>
  <si>
    <t>Cancellation due to payment from provisions note</t>
  </si>
  <si>
    <t>Adjust: impairment of financial instruments</t>
  </si>
  <si>
    <t>Reverse expected-credit-loss/provision line</t>
  </si>
  <si>
    <t>Trade and other receivables</t>
  </si>
  <si>
    <t>Net equity-method investing cash flow</t>
  </si>
  <si>
    <t>Formula: dividends - net investments</t>
  </si>
  <si>
    <t>Observable from equity-method roll-forward.</t>
  </si>
  <si>
    <t>Operating cash flow - direct observable subtotal</t>
  </si>
  <si>
    <t>Decrease/(increase) in inventories</t>
  </si>
  <si>
    <t>Prior balance - current balance</t>
  </si>
  <si>
    <t>Other current assets</t>
  </si>
  <si>
    <t>Dividend payable accrued, not paid</t>
  </si>
  <si>
    <t>Note 11.3, PDF p. 50</t>
  </si>
  <si>
    <t>January 2026 remuneration recognized in 2025 trade and other payables; excluded from 2025 operating cash flow.</t>
  </si>
  <si>
    <t>Cash flow from investing activities</t>
  </si>
  <si>
    <t>Decrease/(increase) in trade and other receivables</t>
  </si>
  <si>
    <t>Other current financial assets</t>
  </si>
  <si>
    <t>Provision cash payments</t>
  </si>
  <si>
    <t>Note 20.1, PDF p. 76</t>
  </si>
  <si>
    <t>Cancellation due to payment.</t>
  </si>
  <si>
    <t>Cash capex proxy - PPE and intangible assets</t>
  </si>
  <si>
    <t>Gross PPE/intangible investments less non-cash lease additions</t>
  </si>
  <si>
    <t>Uses notes 16 and 17 instead of net balance movement, avoiding FX/scope distortions.</t>
  </si>
  <si>
    <t>Decrease/(increase) in other current assets</t>
  </si>
  <si>
    <t>Cash and cash equivalents</t>
  </si>
  <si>
    <t>Provision charges net of credits</t>
  </si>
  <si>
    <t>Provisions charged to income of 1,313 less credited to income of 59.</t>
  </si>
  <si>
    <t>Disposal proceeds proxy - PPE and intangible assets</t>
  </si>
  <si>
    <t>Net carrying amount derecognized plus P&amp;L disposal gain</t>
  </si>
  <si>
    <t>Increase/(decrease) in trade and other payables</t>
  </si>
  <si>
    <t>Current balance - prior balance</t>
  </si>
  <si>
    <t>CURRENT ASSETS</t>
  </si>
  <si>
    <t>Held-for-sale disposal proceeds proxy</t>
  </si>
  <si>
    <t>Note 19, PDF p. 75; Note 15.1 FX average, PDF p. 61</t>
  </si>
  <si>
    <t>USD 341m remaining/completed proceeds translated at 2025 average EUR/USD of 1.13; rounded to EUR thousands.</t>
  </si>
  <si>
    <t>Dividends from equity-accounted investments less net investments</t>
  </si>
  <si>
    <t>Reclass non-operating payable out of operating working capital</t>
  </si>
  <si>
    <t>TOTAL ASSETS</t>
  </si>
  <si>
    <t>Indonesia Corridor disposal proceeds proxy</t>
  </si>
  <si>
    <t>Note 17, PDF p. 69; Note 15.1 FX average, PDF p. 61</t>
  </si>
  <si>
    <t>USD 425m sale price translated at 2025 average EUR/USD of 1.13; Sakakemang excluded because approval was pending and amount was immaterial/held for sale.</t>
  </si>
  <si>
    <t>Net movement in financial assets</t>
  </si>
  <si>
    <t>Change in Note 13 financial assets excluding cash</t>
  </si>
  <si>
    <t>Increase/(decrease) in provisions</t>
  </si>
  <si>
    <t>Current plus non-current provisions movement</t>
  </si>
  <si>
    <t>Kept as a balance-sheet movement because related scope/FX offsets are not fully allocable without the published cash flow statement.</t>
  </si>
  <si>
    <t>EQUITY AND LIABILITIES</t>
  </si>
  <si>
    <t>Net financial assets movement excluding cash</t>
  </si>
  <si>
    <t>Note 13, PDF p. 56</t>
  </si>
  <si>
    <t>Derived from financial assets excluding cash: 2025 EUR 5,942m less 2024 EUR 3,858m. Includes financial asset lines not captured by the two balance-sheet headings alone.</t>
  </si>
  <si>
    <t>Completed asset disposals disclosed in Note 19, translated using disclosed average FX</t>
  </si>
  <si>
    <t>Deferred tax balance movement</t>
  </si>
  <si>
    <t>Change in net deferred tax liability/(asset)</t>
  </si>
  <si>
    <t>Included as an observable balance-sheet movement; OCI/FX/current tax split is not available.</t>
  </si>
  <si>
    <t>Share capital</t>
  </si>
  <si>
    <t>Statement of changes in equity, PDF p. 17</t>
  </si>
  <si>
    <t>Public grants received for hydrogen projects</t>
  </si>
  <si>
    <t>Note 19, PDF p. 75</t>
  </si>
  <si>
    <t>Funds received from public authorities, classified as financing/other inflow in reconstruction.</t>
  </si>
  <si>
    <t>Completed asset disposal disclosed in Note 17, translated using disclosed average FX</t>
  </si>
  <si>
    <t>Operating cash flow - indirect observable subtotal</t>
  </si>
  <si>
    <t>Retained earnings, reserves, share premium and dividends</t>
  </si>
  <si>
    <t>Statement of changes in equity, PDF p. 17. Repsol groups these items in one column.</t>
  </si>
  <si>
    <t>Subordinated hybrid bond issues</t>
  </si>
  <si>
    <t>Note 11.4, PDF p. 50</t>
  </si>
  <si>
    <t>Two EUR 750m perpetual subordinated bond issues.</t>
  </si>
  <si>
    <t>Investing cash flow - observable subtotal</t>
  </si>
  <si>
    <t>Treasury shares and own equity investments</t>
  </si>
  <si>
    <t>Subordinated hybrid repurchases/redemptions</t>
  </si>
  <si>
    <t>Note 11.4, PDF p. 51</t>
  </si>
  <si>
    <t>EUR 614m repurchase plus EUR 144m redemption.</t>
  </si>
  <si>
    <t>Cash flow from financing activities</t>
  </si>
  <si>
    <t>Same observable investing reconstruction as direct method</t>
  </si>
  <si>
    <t>Other equity instruments</t>
  </si>
  <si>
    <t>Net subordinated hybrid cash flow</t>
  </si>
  <si>
    <t>Formula: issues + repurchases/redemptions</t>
  </si>
  <si>
    <t>Cash financing effect before coupons classified in equity.</t>
  </si>
  <si>
    <t>Net change in financial liabilities</t>
  </si>
  <si>
    <t>Change in current and non-current financial liabilities</t>
  </si>
  <si>
    <t>Net income attributable to the parent</t>
  </si>
  <si>
    <t>Treasury share market purchases</t>
  </si>
  <si>
    <t>Note 11.2, PDF p. 49</t>
  </si>
  <si>
    <t>Market purchases.</t>
  </si>
  <si>
    <t>Dividends and shareholder remuneration</t>
  </si>
  <si>
    <t>Equity movement memo</t>
  </si>
  <si>
    <t>Financing cash flow - observable subtotal</t>
  </si>
  <si>
    <t>Same observable financing reconstruction as direct method</t>
  </si>
  <si>
    <t>Other cumulative comprehensive income</t>
  </si>
  <si>
    <t>Balance sheet and statement of changes in equity, PDF pp. 16-17</t>
  </si>
  <si>
    <t>Treasury share market sales</t>
  </si>
  <si>
    <t>Market sales.</t>
  </si>
  <si>
    <t>Treasury share cash flow</t>
  </si>
  <si>
    <t>Market purchases, market sales and derivative settlements disclosed in notes</t>
  </si>
  <si>
    <t>Subtotal - independently sourced items (I + II + III)</t>
  </si>
  <si>
    <t>Subtotal before the explicit balance-sheet reconciliation line.</t>
  </si>
  <si>
    <t>Non-controlling interests</t>
  </si>
  <si>
    <t>Treasury share derivatives settlement</t>
  </si>
  <si>
    <t>Note 14, PDF p. 61</t>
  </si>
  <si>
    <t>EUR 32m partial collar cancellation plus EUR 71m equity swap physical settlement.</t>
  </si>
  <si>
    <t>Subordinated perpetual debentures cash flow</t>
  </si>
  <si>
    <t>Hybrid issues less repurchases/redemptions disclosed in notes</t>
  </si>
  <si>
    <t>Reconciliation to actual cash movement</t>
  </si>
  <si>
    <t>EQUITY</t>
  </si>
  <si>
    <t>Balance sheet, PDF p. 16; detailed using PDF p. 17</t>
  </si>
  <si>
    <t>Net treasury share cash flow</t>
  </si>
  <si>
    <t>Formula: purchases + sales + derivative settlements</t>
  </si>
  <si>
    <t>Cash financing effect, excluding non-cash capital reductions.</t>
  </si>
  <si>
    <t>Other partner/scope/equity movements</t>
  </si>
  <si>
    <t>Equity movement memo items other than dividends, treasury shares and perpetual debentures</t>
  </si>
  <si>
    <t>Actual net increase/(decrease) in cash and cash equivalents (per Balance Sheet)</t>
  </si>
  <si>
    <t>Current-year cash less prior-year cash from the balance sheet</t>
  </si>
  <si>
    <t>Non-current provisions</t>
  </si>
  <si>
    <t>Funds received from public authorities disclosed in Note 19</t>
  </si>
  <si>
    <t>Unreconciled / non-cash and other unallocated items</t>
  </si>
  <si>
    <t>Actual balance-sheet cash movement less independently sourced subtotal</t>
  </si>
  <si>
    <t>Visible reconciliation line, not an operating/investing/financing plug.</t>
  </si>
  <si>
    <t>Non-current financial liabilities</t>
  </si>
  <si>
    <t>Liabilities associated with held-for-sale assets</t>
  </si>
  <si>
    <t>Change in related liability line</t>
  </si>
  <si>
    <t>Net increase/(decrease) in cash and cash equivalents (= actual, by construction)</t>
  </si>
  <si>
    <t>Subtotal plus visible reconciliation line</t>
  </si>
  <si>
    <t>Deferred tax liabilities and other tax items</t>
  </si>
  <si>
    <t>Cash and cash equivalents at beginning of period</t>
  </si>
  <si>
    <t>Other non-current liabilities</t>
  </si>
  <si>
    <t>Cash and cash equivalents at end of period</t>
  </si>
  <si>
    <t>Reconciles to balance sheet cash by construction</t>
  </si>
  <si>
    <t>NON-CURRENT LIABILITIES</t>
  </si>
  <si>
    <t>Check: ending cash per statement above vs. balance sheet</t>
  </si>
  <si>
    <t>Must be zero after the explicit reconciliation line.</t>
  </si>
  <si>
    <t>Liabilities associated with non-current assets held for sale</t>
  </si>
  <si>
    <t>Current provisions</t>
  </si>
  <si>
    <t>Current financial liabilities</t>
  </si>
  <si>
    <t>Trade and other payables</t>
  </si>
  <si>
    <t>CURRENT LIABILITIES</t>
  </si>
  <si>
    <t>TOTAL EQUITY AND LIABILITIES</t>
  </si>
  <si>
    <t>EQUITY MOVEMENT MEMO</t>
  </si>
  <si>
    <t>Transactions with treasury shares and own equity investments (net)</t>
  </si>
  <si>
    <t>Share capital increase/(reduction)</t>
  </si>
  <si>
    <t>Subordinated perpetual debentures</t>
  </si>
  <si>
    <t>Increases/(reductions) due to changes in scope</t>
  </si>
  <si>
    <t>Other transactions with partners or owners</t>
  </si>
  <si>
    <t>Other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</si>
</sst>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(#,##0\);\-"/>
    <numFmt numFmtId="165" formatCode="#,##0;\(#,##0\);\-"/>
  </numFmts>
  <fonts count="19">
    <font>
      <sz val="11"/>
      <name val="Carlito"/>
    </font>
    <font>
      <b/>
      <sz val="11"/>
      <color rgb="FFFFFFFF"/>
      <name val="Aptos"/>
    </font>
    <font>
      <b/>
      <sz val="16"/>
      <color rgb="FFFFFFFF"/>
      <name val="Aptos Display"/>
    </font>
    <font>
      <b/>
      <sz val="11"/>
      <color rgb="FFFFFFFF"/>
      <name val="Carlito"/>
    </font>
    <font>
      <b/>
      <sz val="11"/>
      <color rgb="FF000000"/>
      <name val="Carlito"/>
    </font>
    <font>
      <b/>
      <sz val="12"/>
      <color rgb="FFFFFFFF"/>
      <name val="Aptos Display"/>
    </font>
    <font>
      <b/>
      <i/>
      <sz val="8"/>
      <color rgb="FFDDEBF7"/>
      <name val="Aptos"/>
    </font>
    <font>
      <sz val="1"/>
      <color rgb="FFFFFFFF"/>
      <name val="Aptos"/>
    </font>
    <font>
      <b/>
      <sz val="10"/>
      <color rgb="FFFFFFFF"/>
      <name val="Aptos"/>
    </font>
    <font>
      <b/>
      <sz val="10"/>
      <color rgb="FF000000"/>
      <name val="Aptos"/>
    </font>
    <font>
      <b/>
      <i/>
      <sz val="10"/>
      <color rgb="FFDDEBF7"/>
      <name val="Aptos"/>
    </font>
    <font>
      <sz val="10"/>
      <name val="Aptos"/>
    </font>
    <font>
      <b/>
      <sz val="10"/>
      <name val="Aptos"/>
    </font>
    <font>
      <b/>
      <sz val="10"/>
      <color rgb="FFFFFFFF"/>
      <name val="Aptos Display"/>
    </font>
    <font>
      <b/>
      <sz val="10"/>
      <color rgb="FF1F4E78"/>
      <name val="Aptos"/>
    </font>
    <font>
      <b/>
      <sz val="10"/>
      <color rgb="FFA80000"/>
      <name val="Aptos"/>
    </font>
    <font>
      <b/>
      <sz val="10"/>
      <color rgb="FFC00000"/>
      <name val="Aptos"/>
    </font>
    <font>
      <b/>
      <sz val="10"/>
      <color rgb="FF000000"/>
      <name val="Aptos Display"/>
    </font>
    <font>
      <b/>
      <sz val="10"/>
      <color rgb="FF666666"/>
      <name val="Aptos Display"/>
    </font>
  </fonts>
  <fills count="11">
    <fill>
      <patternFill patternType="none"/>
    </fill>
    <fill>
      <patternFill patternType="gray125"/>
    </fill>
    <fill>
      <patternFill patternType="solid">
        <fgColor rgb="FF0F243E"/>
      </patternFill>
    </fill>
    <fill>
      <patternFill patternType="solid">
        <fgColor rgb="FF1F4E78"/>
      </patternFill>
    </fill>
    <fill>
      <patternFill patternType="solid">
        <fgColor rgb="FFF4F8FB"/>
      </patternFill>
    </fill>
    <fill>
      <patternFill patternType="solid">
        <fgColor rgb="FFF3F4F6"/>
      </patternFill>
    </fill>
    <fill>
      <patternFill patternType="solid">
        <fgColor rgb="FFD9EAF7"/>
      </patternFill>
    </fill>
    <fill>
      <patternFill patternType="solid">
        <fgColor rgb="FFFFF8E5"/>
      </patternFill>
    </fill>
    <fill>
      <patternFill patternType="solid">
        <fgColor rgb="FFFFFFFF"/>
      </patternFill>
    </fill>
    <fill>
      <patternFill patternType="solid">
        <fgColor rgb="FFFCE4E4"/>
      </patternFill>
    </fill>
    <fill>
      <patternFill patternType="solid">
        <fgColor rgb="FFFFF2CC"/>
      </patternFill>
    </fill>
  </fills>
  <borders count="19">
    <border>
      <left/>
      <right/>
      <top/>
      <bottom/>
      <diagonal/>
    </border>
    <border>
      <left style="thin">
        <color rgb="FF0F243E"/>
      </left>
      <right/>
      <top style="thin">
        <color rgb="FF0F243E"/>
      </top>
      <bottom style="thin">
        <color rgb="FFE5EAF0"/>
      </bottom>
      <diagonal/>
    </border>
    <border>
      <left/>
      <right/>
      <top style="thin">
        <color rgb="FF0F243E"/>
      </top>
      <bottom style="thin">
        <color rgb="FFE5EAF0"/>
      </bottom>
      <diagonal/>
    </border>
    <border>
      <left style="thin">
        <color rgb="FF0F243E"/>
      </left>
      <right/>
      <top style="thin">
        <color rgb="FFE5EAF0"/>
      </top>
      <bottom style="thin">
        <color rgb="FFE5EAF0"/>
      </bottom>
      <diagonal/>
    </border>
    <border>
      <left/>
      <right/>
      <top style="thin">
        <color rgb="FFE5EAF0"/>
      </top>
      <bottom style="thin">
        <color rgb="FFE5EAF0"/>
      </bottom>
      <diagonal/>
    </border>
    <border>
      <left style="thin">
        <color rgb="FF0F243E"/>
      </left>
      <right/>
      <top style="thin">
        <color rgb="FFE5EAF0"/>
      </top>
      <bottom style="thin">
        <color rgb="FFB7C9D6"/>
      </bottom>
      <diagonal/>
    </border>
    <border>
      <left/>
      <right/>
      <top style="thin">
        <color rgb="FFE5EAF0"/>
      </top>
      <bottom style="thin">
        <color rgb="FFB7C9D6"/>
      </bottom>
      <diagonal/>
    </border>
    <border>
      <left style="thin">
        <color rgb="FF0F243E"/>
      </left>
      <right/>
      <top style="thin">
        <color rgb="FF7F7F7F"/>
      </top>
      <bottom style="thin">
        <color rgb="FFD0D7DE"/>
      </bottom>
      <diagonal/>
    </border>
    <border>
      <left/>
      <right/>
      <top style="thin">
        <color rgb="FF7F7F7F"/>
      </top>
      <bottom style="thin">
        <color rgb="FFD0D7DE"/>
      </bottom>
      <diagonal/>
    </border>
    <border>
      <left style="thin">
        <color rgb="FF0F243E"/>
      </left>
      <right/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/>
      <top/>
      <bottom style="thin">
        <color rgb="FFE5EAF0"/>
      </bottom>
      <diagonal/>
    </border>
    <border>
      <left/>
      <right/>
      <top style="thin">
        <color rgb="FFD6B656"/>
      </top>
      <bottom style="thin">
        <color rgb="FFD6B656"/>
      </bottom>
      <diagonal/>
    </border>
    <border>
      <left style="thin">
        <color rgb="FF0F243E"/>
      </left>
      <right/>
      <top style="thin">
        <color rgb="FFE6B8B7"/>
      </top>
      <bottom style="thin">
        <color rgb="FFE6B8B7"/>
      </bottom>
      <diagonal/>
    </border>
    <border>
      <left/>
      <right/>
      <top style="thin">
        <color rgb="FFE6B8B7"/>
      </top>
      <bottom style="thin">
        <color rgb="FFE6B8B7"/>
      </bottom>
      <diagonal/>
    </border>
    <border>
      <left style="thin">
        <color rgb="FF0F243E"/>
      </left>
      <right/>
      <top style="medium">
        <color rgb="FF0F243E"/>
      </top>
      <bottom style="medium">
        <color rgb="FF0F243E"/>
      </bottom>
      <diagonal/>
    </border>
    <border>
      <left/>
      <right/>
      <top style="medium">
        <color rgb="FF0F243E"/>
      </top>
      <bottom style="medium">
        <color rgb="FF0F243E"/>
      </bottom>
      <diagonal/>
    </border>
    <border>
      <left style="thin">
        <color rgb="FF0F243E"/>
      </left>
      <right/>
      <top style="medium">
        <color rgb="FFD6B656"/>
      </top>
      <bottom style="medium">
        <color rgb="FFD6B656"/>
      </bottom>
      <diagonal/>
    </border>
    <border>
      <left/>
      <right/>
      <top style="medium">
        <color rgb="FFD6B656"/>
      </top>
      <bottom style="medium">
        <color rgb="FFD6B656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4" xfId="0" applyBorder="1"/>
    <xf numFmtId="164" fontId="0" fillId="0" borderId="4" xfId="0" applyNumberFormat="1" applyBorder="1"/>
    <xf numFmtId="0" fontId="3" fillId="3" borderId="11" xfId="0" applyFont="1" applyFill="1" applyBorder="1"/>
    <xf numFmtId="0" fontId="4" fillId="7" borderId="12" xfId="0" applyFont="1" applyFill="1" applyBorder="1"/>
    <xf numFmtId="164" fontId="4" fillId="7" borderId="12" xfId="0" applyNumberFormat="1" applyFont="1" applyFill="1" applyBorder="1"/>
    <xf numFmtId="0" fontId="11" fillId="0" borderId="0" xfId="0" applyFont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8" fillId="3" borderId="2" xfId="0" applyFont="1" applyFill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164" fontId="11" fillId="0" borderId="4" xfId="0" applyNumberFormat="1" applyFont="1" applyBorder="1" applyAlignment="1">
      <alignment horizontal="right" vertical="top" wrapText="1"/>
    </xf>
    <xf numFmtId="0" fontId="11" fillId="0" borderId="4" xfId="0" applyFont="1" applyBorder="1" applyAlignment="1">
      <alignment vertical="top" wrapText="1"/>
    </xf>
    <xf numFmtId="0" fontId="9" fillId="5" borderId="7" xfId="0" applyFont="1" applyFill="1" applyBorder="1" applyAlignment="1">
      <alignment vertical="top" wrapText="1"/>
    </xf>
    <xf numFmtId="164" fontId="9" fillId="5" borderId="8" xfId="0" applyNumberFormat="1" applyFont="1" applyFill="1" applyBorder="1" applyAlignment="1">
      <alignment horizontal="right" vertical="top" wrapText="1"/>
    </xf>
    <xf numFmtId="0" fontId="9" fillId="5" borderId="8" xfId="0" applyFont="1" applyFill="1" applyBorder="1" applyAlignment="1">
      <alignment vertical="top" wrapText="1"/>
    </xf>
    <xf numFmtId="0" fontId="12" fillId="4" borderId="3" xfId="0" applyFont="1" applyFill="1" applyBorder="1" applyAlignment="1">
      <alignment vertical="top" wrapText="1"/>
    </xf>
    <xf numFmtId="0" fontId="12" fillId="4" borderId="4" xfId="0" applyFont="1" applyFill="1" applyBorder="1" applyAlignment="1">
      <alignment vertical="top" wrapText="1"/>
    </xf>
    <xf numFmtId="0" fontId="11" fillId="0" borderId="5" xfId="0" applyFont="1" applyBorder="1" applyAlignment="1">
      <alignment vertical="top" wrapText="1"/>
    </xf>
    <xf numFmtId="0" fontId="11" fillId="0" borderId="6" xfId="0" applyFont="1" applyBorder="1" applyAlignment="1">
      <alignment vertical="top" wrapText="1"/>
    </xf>
    <xf numFmtId="0" fontId="14" fillId="6" borderId="9" xfId="0" applyFont="1" applyFill="1" applyBorder="1" applyAlignment="1">
      <alignment vertical="top" wrapText="1"/>
    </xf>
    <xf numFmtId="164" fontId="14" fillId="6" borderId="10" xfId="0" applyNumberFormat="1" applyFont="1" applyFill="1" applyBorder="1" applyAlignment="1">
      <alignment horizontal="right" vertical="top" wrapText="1"/>
    </xf>
    <xf numFmtId="0" fontId="14" fillId="6" borderId="10" xfId="0" applyFont="1" applyFill="1" applyBorder="1" applyAlignment="1">
      <alignment vertical="top" wrapText="1"/>
    </xf>
    <xf numFmtId="164" fontId="11" fillId="0" borderId="6" xfId="0" applyNumberFormat="1" applyFont="1" applyBorder="1" applyAlignment="1">
      <alignment horizontal="right" vertical="top" wrapText="1"/>
    </xf>
    <xf numFmtId="0" fontId="15" fillId="9" borderId="13" xfId="0" applyFont="1" applyFill="1" applyBorder="1" applyAlignment="1">
      <alignment vertical="top" wrapText="1"/>
    </xf>
    <xf numFmtId="164" fontId="15" fillId="9" borderId="14" xfId="0" applyNumberFormat="1" applyFont="1" applyFill="1" applyBorder="1" applyAlignment="1">
      <alignment horizontal="right" vertical="top" wrapText="1"/>
    </xf>
    <xf numFmtId="0" fontId="15" fillId="9" borderId="14" xfId="0" applyFont="1" applyFill="1" applyBorder="1" applyAlignment="1">
      <alignment vertical="top" wrapText="1"/>
    </xf>
    <xf numFmtId="0" fontId="8" fillId="3" borderId="15" xfId="0" applyFont="1" applyFill="1" applyBorder="1" applyAlignment="1">
      <alignment vertical="top" wrapText="1"/>
    </xf>
    <xf numFmtId="0" fontId="8" fillId="3" borderId="16" xfId="0" applyFont="1" applyFill="1" applyBorder="1" applyAlignment="1">
      <alignment vertical="top" wrapText="1"/>
    </xf>
    <xf numFmtId="0" fontId="16" fillId="10" borderId="17" xfId="0" applyFont="1" applyFill="1" applyBorder="1" applyAlignment="1">
      <alignment vertical="top" wrapText="1"/>
    </xf>
    <xf numFmtId="164" fontId="16" fillId="10" borderId="18" xfId="0" applyNumberFormat="1" applyFont="1" applyFill="1" applyBorder="1" applyAlignment="1">
      <alignment horizontal="right" vertical="top" wrapText="1"/>
    </xf>
    <xf numFmtId="0" fontId="16" fillId="10" borderId="18" xfId="0" applyFont="1" applyFill="1" applyBorder="1" applyAlignment="1">
      <alignment vertical="top" wrapText="1"/>
    </xf>
    <xf numFmtId="165" fontId="8" fillId="3" borderId="16" xfId="0" applyNumberFormat="1" applyFont="1" applyFill="1" applyBorder="1" applyAlignment="1">
      <alignment horizontal="right" vertical="top" wrapText="1"/>
    </xf>
    <xf numFmtId="0" fontId="2" fillId="2" borderId="0" xfId="0" applyFont="1" applyFill="1" applyAlignment="1">
      <alignment vertical="top" wrapText="1"/>
    </xf>
    <xf numFmtId="0" fontId="17" fillId="2" borderId="0" xfId="0" applyFont="1" applyFill="1" applyAlignment="1">
      <alignment vertical="top" wrapText="1"/>
    </xf>
    <xf numFmtId="0" fontId="13" fillId="2" borderId="0" xfId="0" applyFont="1" applyFill="1" applyAlignment="1">
      <alignment vertical="top" wrapText="1"/>
    </xf>
    <xf numFmtId="0" fontId="10" fillId="2" borderId="0" xfId="0" applyFont="1" applyFill="1" applyAlignment="1">
      <alignment vertical="top" wrapText="1"/>
    </xf>
    <xf numFmtId="0" fontId="5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6" fillId="2" borderId="0" xfId="0" applyFont="1" applyFill="1"/>
    <xf numFmtId="0" fontId="1" fillId="2" borderId="0" xfId="0" applyFont="1" applyFill="1"/>
    <xf numFmtId="0" fontId="7" fillId="8" borderId="0" xfId="0" applyFont="1" applyFill="1"/>
    <xf numFmtId="0" fontId="0" fillId="0" borderId="0" xfId="0"/>
    <xf numFmtId="164" fontId="17" fillId="2" borderId="0" xfId="0" applyNumberFormat="1" applyFont="1" applyFill="1" applyAlignment="1">
      <alignment vertical="top" wrapText="1"/>
    </xf>
    <xf numFmtId="0" fontId="18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0"/>
  <sheetViews>
    <sheetView showGridLines="0" tabSelected="1" workbookViewId="0">
      <selection sqref="A1:D1"/>
    </sheetView>
  </sheetViews>
  <sheetFormatPr baseColWidth="10" defaultColWidth="8.83203125" defaultRowHeight="14"/>
  <cols>
    <col min="1" max="1" width="50" customWidth="1"/>
    <col min="2" max="3" width="17" customWidth="1"/>
    <col min="4" max="4" width="56" customWidth="1"/>
  </cols>
  <sheetData>
    <row r="1" spans="1:4" ht="31" customHeight="1">
      <c r="A1" s="32" t="s">
        <v>0</v>
      </c>
      <c r="B1" s="33"/>
      <c r="C1" s="33"/>
      <c r="D1" s="34"/>
    </row>
    <row r="2" spans="1:4" ht="32" customHeight="1">
      <c r="A2" s="35" t="s">
        <v>1</v>
      </c>
      <c r="B2" s="34"/>
      <c r="C2" s="34"/>
      <c r="D2" s="34"/>
    </row>
    <row r="3" spans="1:4" ht="23" customHeight="1">
      <c r="A3" s="6"/>
      <c r="B3" s="6"/>
      <c r="C3" s="6"/>
      <c r="D3" s="6"/>
    </row>
    <row r="4" spans="1:4" ht="23" customHeight="1">
      <c r="A4" s="7" t="s">
        <v>2</v>
      </c>
      <c r="B4" s="8" t="s">
        <v>3</v>
      </c>
      <c r="C4" s="8" t="s">
        <v>4</v>
      </c>
      <c r="D4" s="8" t="s">
        <v>5</v>
      </c>
    </row>
    <row r="5" spans="1:4" ht="23" customHeight="1">
      <c r="A5" s="9" t="s">
        <v>6</v>
      </c>
      <c r="B5" s="10">
        <v>54421000</v>
      </c>
      <c r="C5" s="10">
        <v>56713000</v>
      </c>
      <c r="D5" s="11" t="s">
        <v>7</v>
      </c>
    </row>
    <row r="6" spans="1:4" ht="23" customHeight="1">
      <c r="A6" s="9" t="s">
        <v>8</v>
      </c>
      <c r="B6" s="10">
        <v>440000</v>
      </c>
      <c r="C6" s="10">
        <v>409000</v>
      </c>
      <c r="D6" s="11" t="s">
        <v>7</v>
      </c>
    </row>
    <row r="7" spans="1:4" ht="23" customHeight="1">
      <c r="A7" s="9" t="s">
        <v>9</v>
      </c>
      <c r="B7" s="10">
        <v>69000</v>
      </c>
      <c r="C7" s="10">
        <v>-225000</v>
      </c>
      <c r="D7" s="11" t="s">
        <v>7</v>
      </c>
    </row>
    <row r="8" spans="1:4" ht="23" customHeight="1">
      <c r="A8" s="9" t="s">
        <v>10</v>
      </c>
      <c r="B8" s="10">
        <v>-41300000</v>
      </c>
      <c r="C8" s="10">
        <v>-42234000</v>
      </c>
      <c r="D8" s="11" t="s">
        <v>7</v>
      </c>
    </row>
    <row r="9" spans="1:4" ht="23" customHeight="1">
      <c r="A9" s="9" t="s">
        <v>11</v>
      </c>
      <c r="B9" s="10">
        <v>-2439000</v>
      </c>
      <c r="C9" s="10">
        <v>-2932000</v>
      </c>
      <c r="D9" s="11" t="s">
        <v>7</v>
      </c>
    </row>
    <row r="10" spans="1:4" ht="23" customHeight="1">
      <c r="A10" s="9" t="s">
        <v>12</v>
      </c>
      <c r="B10" s="10">
        <v>1000</v>
      </c>
      <c r="C10" s="10">
        <v>-946000</v>
      </c>
      <c r="D10" s="11" t="s">
        <v>7</v>
      </c>
    </row>
    <row r="11" spans="1:4" ht="23" customHeight="1">
      <c r="A11" s="9" t="s">
        <v>13</v>
      </c>
      <c r="B11" s="10">
        <v>-2178000</v>
      </c>
      <c r="C11" s="10">
        <v>-2199000</v>
      </c>
      <c r="D11" s="11" t="s">
        <v>7</v>
      </c>
    </row>
    <row r="12" spans="1:4" ht="23" customHeight="1">
      <c r="A12" s="9" t="s">
        <v>14</v>
      </c>
      <c r="B12" s="10">
        <v>-1648000</v>
      </c>
      <c r="C12" s="10">
        <v>-1784000</v>
      </c>
      <c r="D12" s="11" t="s">
        <v>7</v>
      </c>
    </row>
    <row r="13" spans="1:4" ht="23" customHeight="1">
      <c r="A13" s="9" t="s">
        <v>15</v>
      </c>
      <c r="B13" s="10">
        <v>-654000</v>
      </c>
      <c r="C13" s="10">
        <v>-663000</v>
      </c>
      <c r="D13" s="11" t="s">
        <v>7</v>
      </c>
    </row>
    <row r="14" spans="1:4" ht="23" customHeight="1">
      <c r="A14" s="9" t="s">
        <v>16</v>
      </c>
      <c r="B14" s="10">
        <v>14000</v>
      </c>
      <c r="C14" s="10">
        <v>2000</v>
      </c>
      <c r="D14" s="11" t="s">
        <v>7</v>
      </c>
    </row>
    <row r="15" spans="1:4" ht="23" customHeight="1">
      <c r="A15" s="9" t="s">
        <v>17</v>
      </c>
      <c r="B15" s="10">
        <v>-4017000</v>
      </c>
      <c r="C15" s="10">
        <v>-4196000</v>
      </c>
      <c r="D15" s="11" t="s">
        <v>7</v>
      </c>
    </row>
    <row r="16" spans="1:4" ht="23" customHeight="1">
      <c r="A16" s="12" t="s">
        <v>18</v>
      </c>
      <c r="B16" s="13">
        <v>2709000</v>
      </c>
      <c r="C16" s="13">
        <v>1945000</v>
      </c>
      <c r="D16" s="14" t="s">
        <v>7</v>
      </c>
    </row>
    <row r="17" spans="1:4" ht="23" customHeight="1">
      <c r="A17" s="9" t="s">
        <v>19</v>
      </c>
      <c r="B17" s="10">
        <v>257000</v>
      </c>
      <c r="C17" s="10">
        <v>341000</v>
      </c>
      <c r="D17" s="11" t="s">
        <v>7</v>
      </c>
    </row>
    <row r="18" spans="1:4" ht="23" customHeight="1">
      <c r="A18" s="9" t="s">
        <v>20</v>
      </c>
      <c r="B18" s="10">
        <v>-291000</v>
      </c>
      <c r="C18" s="10">
        <v>-303000</v>
      </c>
      <c r="D18" s="11" t="s">
        <v>7</v>
      </c>
    </row>
    <row r="19" spans="1:4" ht="23" customHeight="1">
      <c r="A19" s="9" t="s">
        <v>21</v>
      </c>
      <c r="B19" s="10">
        <v>-298000</v>
      </c>
      <c r="C19" s="10">
        <v>220000</v>
      </c>
      <c r="D19" s="11" t="s">
        <v>7</v>
      </c>
    </row>
    <row r="20" spans="1:4" ht="23" customHeight="1">
      <c r="A20" s="9" t="s">
        <v>22</v>
      </c>
      <c r="B20" s="10">
        <v>468000</v>
      </c>
      <c r="C20" s="10">
        <v>-271000</v>
      </c>
      <c r="D20" s="11" t="s">
        <v>7</v>
      </c>
    </row>
    <row r="21" spans="1:4" ht="23" customHeight="1">
      <c r="A21" s="9" t="s">
        <v>23</v>
      </c>
      <c r="B21" s="10">
        <v>25000</v>
      </c>
      <c r="C21" s="10">
        <v>-43000</v>
      </c>
      <c r="D21" s="11" t="s">
        <v>7</v>
      </c>
    </row>
    <row r="22" spans="1:4" ht="23" customHeight="1">
      <c r="A22" s="9" t="s">
        <v>24</v>
      </c>
      <c r="B22" s="10">
        <v>-106000</v>
      </c>
      <c r="C22" s="10">
        <v>-156000</v>
      </c>
      <c r="D22" s="11" t="s">
        <v>7</v>
      </c>
    </row>
    <row r="23" spans="1:4" ht="23" customHeight="1">
      <c r="A23" s="12" t="s">
        <v>25</v>
      </c>
      <c r="B23" s="13">
        <v>55000</v>
      </c>
      <c r="C23" s="13">
        <v>-212000</v>
      </c>
      <c r="D23" s="14" t="s">
        <v>7</v>
      </c>
    </row>
    <row r="24" spans="1:4" ht="23" customHeight="1">
      <c r="A24" s="9" t="s">
        <v>26</v>
      </c>
      <c r="B24" s="10">
        <v>53000</v>
      </c>
      <c r="C24" s="10">
        <v>439000</v>
      </c>
      <c r="D24" s="11" t="s">
        <v>7</v>
      </c>
    </row>
    <row r="25" spans="1:4" ht="23" customHeight="1">
      <c r="A25" s="12" t="s">
        <v>27</v>
      </c>
      <c r="B25" s="13">
        <v>2817000</v>
      </c>
      <c r="C25" s="13">
        <v>2172000</v>
      </c>
      <c r="D25" s="14" t="s">
        <v>7</v>
      </c>
    </row>
    <row r="26" spans="1:4" ht="23" customHeight="1">
      <c r="A26" s="9" t="s">
        <v>28</v>
      </c>
      <c r="B26" s="10">
        <v>-717000</v>
      </c>
      <c r="C26" s="10">
        <v>-562000</v>
      </c>
      <c r="D26" s="11" t="s">
        <v>7</v>
      </c>
    </row>
    <row r="27" spans="1:4" ht="23" customHeight="1">
      <c r="A27" s="12" t="s">
        <v>29</v>
      </c>
      <c r="B27" s="13">
        <v>2100000</v>
      </c>
      <c r="C27" s="13">
        <v>1610000</v>
      </c>
      <c r="D27" s="14" t="s">
        <v>7</v>
      </c>
    </row>
    <row r="28" spans="1:4" ht="23" customHeight="1">
      <c r="A28" s="9" t="s">
        <v>30</v>
      </c>
      <c r="B28" s="10">
        <v>-201000</v>
      </c>
      <c r="C28" s="10">
        <v>146000</v>
      </c>
      <c r="D28" s="11" t="s">
        <v>7</v>
      </c>
    </row>
    <row r="29" spans="1:4" ht="23" customHeight="1">
      <c r="A29" s="12" t="s">
        <v>31</v>
      </c>
      <c r="B29" s="13">
        <v>1899000</v>
      </c>
      <c r="C29" s="13">
        <v>1756000</v>
      </c>
      <c r="D29" s="14" t="s">
        <v>7</v>
      </c>
    </row>
    <row r="30" spans="1:4" ht="23" customHeight="1">
      <c r="A30" s="9"/>
      <c r="B30" s="11"/>
      <c r="C30" s="11"/>
      <c r="D30" s="11"/>
    </row>
    <row r="31" spans="1:4" ht="23" customHeight="1">
      <c r="A31" s="15" t="s">
        <v>32</v>
      </c>
      <c r="B31" s="16"/>
      <c r="C31" s="16"/>
      <c r="D31" s="16"/>
    </row>
    <row r="32" spans="1:4" ht="23" customHeight="1">
      <c r="A32" s="9" t="s">
        <v>33</v>
      </c>
      <c r="B32" s="11">
        <v>1.62</v>
      </c>
      <c r="C32" s="11">
        <v>1.43</v>
      </c>
      <c r="D32" s="11" t="s">
        <v>7</v>
      </c>
    </row>
    <row r="33" spans="1:4" ht="23" customHeight="1">
      <c r="A33" s="17" t="s">
        <v>34</v>
      </c>
      <c r="B33" s="18">
        <v>1.62</v>
      </c>
      <c r="C33" s="18">
        <v>1.43</v>
      </c>
      <c r="D33" s="18" t="s">
        <v>7</v>
      </c>
    </row>
    <row r="34" spans="1:4" ht="23" customHeight="1">
      <c r="A34" s="6"/>
      <c r="B34" s="6"/>
      <c r="C34" s="6"/>
      <c r="D34" s="6"/>
    </row>
    <row r="35" spans="1:4" ht="23" customHeight="1">
      <c r="A35" s="6"/>
      <c r="B35" s="6"/>
      <c r="C35" s="6"/>
      <c r="D35" s="6"/>
    </row>
    <row r="36" spans="1:4" ht="23" customHeight="1">
      <c r="A36" s="6"/>
      <c r="B36" s="6"/>
      <c r="C36" s="6"/>
      <c r="D36" s="6"/>
    </row>
    <row r="37" spans="1:4" ht="23" customHeight="1">
      <c r="A37" s="6"/>
      <c r="B37" s="6"/>
      <c r="C37" s="6"/>
      <c r="D37" s="6"/>
    </row>
    <row r="38" spans="1:4" ht="23" customHeight="1">
      <c r="A38" s="6"/>
      <c r="B38" s="6"/>
      <c r="C38" s="6"/>
      <c r="D38" s="6"/>
    </row>
    <row r="39" spans="1:4" ht="23" customHeight="1">
      <c r="A39" s="6"/>
      <c r="B39" s="6"/>
      <c r="C39" s="6"/>
      <c r="D39" s="6"/>
    </row>
    <row r="40" spans="1:4" ht="23" customHeight="1">
      <c r="A40" s="6"/>
      <c r="B40" s="6"/>
      <c r="C40" s="6"/>
      <c r="D40" s="6"/>
    </row>
    <row r="41" spans="1:4" ht="23" customHeight="1">
      <c r="A41" s="6"/>
      <c r="B41" s="6"/>
      <c r="C41" s="6"/>
      <c r="D41" s="6"/>
    </row>
    <row r="42" spans="1:4" ht="23" customHeight="1">
      <c r="A42" s="6"/>
      <c r="B42" s="6"/>
      <c r="C42" s="6"/>
      <c r="D42" s="6"/>
    </row>
    <row r="43" spans="1:4" ht="23" customHeight="1">
      <c r="A43" s="6"/>
      <c r="B43" s="6"/>
      <c r="C43" s="6"/>
      <c r="D43" s="6"/>
    </row>
    <row r="44" spans="1:4" ht="23" customHeight="1">
      <c r="A44" s="6"/>
      <c r="B44" s="6"/>
      <c r="C44" s="6"/>
      <c r="D44" s="6"/>
    </row>
    <row r="45" spans="1:4" ht="23" customHeight="1">
      <c r="A45" s="6"/>
      <c r="B45" s="6"/>
      <c r="C45" s="6"/>
      <c r="D45" s="6"/>
    </row>
    <row r="46" spans="1:4" ht="23" customHeight="1">
      <c r="A46" s="6"/>
      <c r="B46" s="6"/>
      <c r="C46" s="6"/>
      <c r="D46" s="6"/>
    </row>
    <row r="47" spans="1:4" ht="23" customHeight="1">
      <c r="A47" s="6"/>
      <c r="B47" s="6"/>
      <c r="C47" s="6"/>
      <c r="D47" s="6"/>
    </row>
    <row r="48" spans="1:4" ht="23" customHeight="1">
      <c r="A48" s="6"/>
      <c r="B48" s="6"/>
      <c r="C48" s="6"/>
      <c r="D48" s="6"/>
    </row>
    <row r="49" spans="1:4" ht="23" customHeight="1">
      <c r="A49" s="6"/>
      <c r="B49" s="6"/>
      <c r="C49" s="6"/>
      <c r="D49" s="6"/>
    </row>
    <row r="50" spans="1:4" ht="23" customHeight="1">
      <c r="A50" s="6"/>
      <c r="B50" s="6"/>
      <c r="C50" s="6"/>
      <c r="D50" s="6"/>
    </row>
    <row r="51" spans="1:4" ht="23" customHeight="1">
      <c r="A51" s="6"/>
      <c r="B51" s="6"/>
      <c r="C51" s="6"/>
      <c r="D51" s="6"/>
    </row>
    <row r="52" spans="1:4" ht="23" customHeight="1">
      <c r="A52" s="6"/>
      <c r="B52" s="6"/>
      <c r="C52" s="6"/>
      <c r="D52" s="6"/>
    </row>
    <row r="53" spans="1:4" ht="23" customHeight="1">
      <c r="A53" s="6"/>
      <c r="B53" s="6"/>
      <c r="C53" s="6"/>
      <c r="D53" s="6"/>
    </row>
    <row r="54" spans="1:4" ht="23" customHeight="1">
      <c r="A54" s="6"/>
      <c r="B54" s="6"/>
      <c r="C54" s="6"/>
      <c r="D54" s="6"/>
    </row>
    <row r="55" spans="1:4" ht="23" customHeight="1">
      <c r="A55" s="6"/>
      <c r="B55" s="6"/>
      <c r="C55" s="6"/>
      <c r="D55" s="6"/>
    </row>
    <row r="56" spans="1:4" ht="23" customHeight="1">
      <c r="A56" s="6"/>
      <c r="B56" s="6"/>
      <c r="C56" s="6"/>
      <c r="D56" s="6"/>
    </row>
    <row r="57" spans="1:4" ht="23" customHeight="1">
      <c r="A57" s="6"/>
      <c r="B57" s="6"/>
      <c r="C57" s="6"/>
      <c r="D57" s="6"/>
    </row>
    <row r="58" spans="1:4" ht="23" customHeight="1">
      <c r="A58" s="6"/>
      <c r="B58" s="6"/>
      <c r="C58" s="6"/>
      <c r="D58" s="6"/>
    </row>
    <row r="59" spans="1:4" ht="23" customHeight="1">
      <c r="A59" s="6"/>
      <c r="B59" s="6"/>
      <c r="C59" s="6"/>
      <c r="D59" s="6"/>
    </row>
    <row r="60" spans="1:4" ht="23" customHeight="1">
      <c r="A60" s="6"/>
      <c r="B60" s="6"/>
      <c r="C60" s="6"/>
      <c r="D60" s="6"/>
    </row>
    <row r="61" spans="1:4" ht="23" customHeight="1">
      <c r="A61" s="6"/>
      <c r="B61" s="6"/>
      <c r="C61" s="6"/>
      <c r="D61" s="6"/>
    </row>
    <row r="62" spans="1:4" ht="23" customHeight="1">
      <c r="A62" s="6"/>
      <c r="B62" s="6"/>
      <c r="C62" s="6"/>
      <c r="D62" s="6"/>
    </row>
    <row r="63" spans="1:4" ht="23" customHeight="1">
      <c r="A63" s="6"/>
      <c r="B63" s="6"/>
      <c r="C63" s="6"/>
      <c r="D63" s="6"/>
    </row>
    <row r="64" spans="1:4" ht="23" customHeight="1">
      <c r="A64" s="6"/>
      <c r="B64" s="6"/>
      <c r="C64" s="6"/>
      <c r="D64" s="6"/>
    </row>
    <row r="65" spans="1:4" ht="23" customHeight="1">
      <c r="A65" s="6"/>
      <c r="B65" s="6"/>
      <c r="C65" s="6"/>
      <c r="D65" s="6"/>
    </row>
    <row r="66" spans="1:4" ht="23" customHeight="1">
      <c r="A66" s="6"/>
      <c r="B66" s="6"/>
      <c r="C66" s="6"/>
      <c r="D66" s="6"/>
    </row>
    <row r="67" spans="1:4" ht="23" customHeight="1">
      <c r="A67" s="6"/>
      <c r="B67" s="6"/>
      <c r="C67" s="6"/>
      <c r="D67" s="6"/>
    </row>
    <row r="68" spans="1:4" ht="23" customHeight="1">
      <c r="A68" s="6"/>
      <c r="B68" s="6"/>
      <c r="C68" s="6"/>
      <c r="D68" s="6"/>
    </row>
    <row r="69" spans="1:4" ht="23" customHeight="1">
      <c r="A69" s="6"/>
      <c r="B69" s="6"/>
      <c r="C69" s="6"/>
      <c r="D69" s="6"/>
    </row>
    <row r="70" spans="1:4" ht="23" customHeight="1">
      <c r="A70" s="6"/>
      <c r="B70" s="6"/>
      <c r="C70" s="6"/>
      <c r="D70" s="6"/>
    </row>
    <row r="71" spans="1:4" ht="23" customHeight="1">
      <c r="A71" s="6"/>
      <c r="B71" s="6"/>
      <c r="C71" s="6"/>
      <c r="D71" s="6"/>
    </row>
    <row r="72" spans="1:4" ht="23" customHeight="1">
      <c r="A72" s="6"/>
      <c r="B72" s="6"/>
      <c r="C72" s="6"/>
      <c r="D72" s="6"/>
    </row>
    <row r="73" spans="1:4" ht="23" customHeight="1">
      <c r="A73" s="6"/>
      <c r="B73" s="6"/>
      <c r="C73" s="6"/>
      <c r="D73" s="6"/>
    </row>
    <row r="74" spans="1:4" ht="23" customHeight="1">
      <c r="A74" s="6"/>
      <c r="B74" s="6"/>
      <c r="C74" s="6"/>
      <c r="D74" s="6"/>
    </row>
    <row r="75" spans="1:4" ht="23" customHeight="1">
      <c r="A75" s="6"/>
      <c r="B75" s="6"/>
      <c r="C75" s="6"/>
      <c r="D75" s="6"/>
    </row>
    <row r="76" spans="1:4" ht="23" customHeight="1">
      <c r="A76" s="6"/>
      <c r="B76" s="6"/>
      <c r="C76" s="6"/>
      <c r="D76" s="6"/>
    </row>
    <row r="77" spans="1:4" ht="23" customHeight="1">
      <c r="A77" s="6"/>
      <c r="B77" s="6"/>
      <c r="C77" s="6"/>
      <c r="D77" s="6"/>
    </row>
    <row r="78" spans="1:4" ht="23" customHeight="1">
      <c r="A78" s="6"/>
      <c r="B78" s="6"/>
      <c r="C78" s="6"/>
      <c r="D78" s="6"/>
    </row>
    <row r="79" spans="1:4" ht="23" customHeight="1">
      <c r="A79" s="6"/>
      <c r="B79" s="6"/>
      <c r="C79" s="6"/>
      <c r="D79" s="6"/>
    </row>
    <row r="80" spans="1:4" ht="23" customHeight="1">
      <c r="A80" s="6"/>
      <c r="B80" s="6"/>
      <c r="C80" s="6"/>
      <c r="D80" s="6"/>
    </row>
    <row r="81" spans="1:4" ht="23" customHeight="1">
      <c r="A81" s="6"/>
      <c r="B81" s="6"/>
      <c r="C81" s="6"/>
      <c r="D81" s="6"/>
    </row>
    <row r="82" spans="1:4" ht="23" customHeight="1">
      <c r="A82" s="6"/>
      <c r="B82" s="6"/>
      <c r="C82" s="6"/>
      <c r="D82" s="6"/>
    </row>
    <row r="83" spans="1:4" ht="23" customHeight="1">
      <c r="A83" s="6"/>
      <c r="B83" s="6"/>
      <c r="C83" s="6"/>
      <c r="D83" s="6"/>
    </row>
    <row r="84" spans="1:4" ht="23" customHeight="1">
      <c r="A84" s="6"/>
      <c r="B84" s="6"/>
      <c r="C84" s="6"/>
      <c r="D84" s="6"/>
    </row>
    <row r="85" spans="1:4" ht="23" customHeight="1">
      <c r="A85" s="6"/>
      <c r="B85" s="6"/>
      <c r="C85" s="6"/>
      <c r="D85" s="6"/>
    </row>
    <row r="86" spans="1:4" ht="23" customHeight="1">
      <c r="A86" s="6"/>
      <c r="B86" s="6"/>
      <c r="C86" s="6"/>
      <c r="D86" s="6"/>
    </row>
    <row r="87" spans="1:4" ht="23" customHeight="1">
      <c r="A87" s="6"/>
      <c r="B87" s="6"/>
      <c r="C87" s="6"/>
      <c r="D87" s="6"/>
    </row>
    <row r="88" spans="1:4" ht="23" customHeight="1">
      <c r="A88" s="6"/>
      <c r="B88" s="6"/>
      <c r="C88" s="6"/>
      <c r="D88" s="6"/>
    </row>
    <row r="89" spans="1:4" ht="23" customHeight="1">
      <c r="A89" s="6"/>
      <c r="B89" s="6"/>
      <c r="C89" s="6"/>
      <c r="D89" s="6"/>
    </row>
    <row r="90" spans="1:4" ht="23" customHeight="1">
      <c r="A90" s="6"/>
      <c r="B90" s="6"/>
      <c r="C90" s="6"/>
      <c r="D90" s="6"/>
    </row>
    <row r="91" spans="1:4" ht="23" customHeight="1">
      <c r="A91" s="6"/>
      <c r="B91" s="6"/>
      <c r="C91" s="6"/>
      <c r="D91" s="6"/>
    </row>
    <row r="92" spans="1:4" ht="23" customHeight="1">
      <c r="A92" s="6"/>
      <c r="B92" s="6"/>
      <c r="C92" s="6"/>
      <c r="D92" s="6"/>
    </row>
    <row r="93" spans="1:4" ht="23" customHeight="1">
      <c r="A93" s="6"/>
      <c r="B93" s="6"/>
      <c r="C93" s="6"/>
      <c r="D93" s="6"/>
    </row>
    <row r="94" spans="1:4" ht="23" customHeight="1">
      <c r="A94" s="6"/>
      <c r="B94" s="6"/>
      <c r="C94" s="6"/>
      <c r="D94" s="6"/>
    </row>
    <row r="95" spans="1:4" ht="23" customHeight="1">
      <c r="A95" s="6"/>
      <c r="B95" s="6"/>
      <c r="C95" s="6"/>
      <c r="D95" s="6"/>
    </row>
    <row r="96" spans="1:4" ht="23" customHeight="1">
      <c r="A96" s="6"/>
      <c r="B96" s="6"/>
      <c r="C96" s="6"/>
      <c r="D96" s="6"/>
    </row>
    <row r="97" spans="1:4" ht="23" customHeight="1">
      <c r="A97" s="6"/>
      <c r="B97" s="6"/>
      <c r="C97" s="6"/>
      <c r="D97" s="6"/>
    </row>
    <row r="98" spans="1:4" ht="23" customHeight="1">
      <c r="A98" s="6"/>
      <c r="B98" s="6"/>
      <c r="C98" s="6"/>
      <c r="D98" s="6"/>
    </row>
    <row r="99" spans="1:4" ht="23" customHeight="1">
      <c r="A99" s="6"/>
      <c r="B99" s="6"/>
      <c r="C99" s="6"/>
      <c r="D99" s="6"/>
    </row>
    <row r="100" spans="1:4" ht="23" customHeight="1">
      <c r="A100" s="6"/>
      <c r="B100" s="6"/>
      <c r="C100" s="6"/>
      <c r="D100" s="6"/>
    </row>
    <row r="101" spans="1:4" ht="23" customHeight="1">
      <c r="A101" s="6"/>
      <c r="B101" s="6"/>
      <c r="C101" s="6"/>
      <c r="D101" s="6"/>
    </row>
    <row r="102" spans="1:4" ht="23" customHeight="1">
      <c r="A102" s="6"/>
      <c r="B102" s="6"/>
      <c r="C102" s="6"/>
      <c r="D102" s="6"/>
    </row>
    <row r="103" spans="1:4" ht="23" customHeight="1">
      <c r="A103" s="6"/>
      <c r="B103" s="6"/>
      <c r="C103" s="6"/>
      <c r="D103" s="6"/>
    </row>
    <row r="104" spans="1:4" ht="23" customHeight="1">
      <c r="A104" s="6"/>
      <c r="B104" s="6"/>
      <c r="C104" s="6"/>
      <c r="D104" s="6"/>
    </row>
    <row r="105" spans="1:4" ht="23" customHeight="1">
      <c r="A105" s="6"/>
      <c r="B105" s="6"/>
      <c r="C105" s="6"/>
      <c r="D105" s="6"/>
    </row>
    <row r="106" spans="1:4" ht="23" customHeight="1">
      <c r="A106" s="6"/>
      <c r="B106" s="6"/>
      <c r="C106" s="6"/>
      <c r="D106" s="6"/>
    </row>
    <row r="107" spans="1:4" ht="23" customHeight="1">
      <c r="A107" s="6"/>
      <c r="B107" s="6"/>
      <c r="C107" s="6"/>
      <c r="D107" s="6"/>
    </row>
    <row r="108" spans="1:4" ht="23" customHeight="1">
      <c r="A108" s="6"/>
      <c r="B108" s="6"/>
      <c r="C108" s="6"/>
      <c r="D108" s="6"/>
    </row>
    <row r="109" spans="1:4" ht="23" customHeight="1">
      <c r="A109" s="6"/>
      <c r="B109" s="6"/>
      <c r="C109" s="6"/>
      <c r="D109" s="6"/>
    </row>
    <row r="110" spans="1:4" ht="23" customHeight="1">
      <c r="A110" s="6"/>
      <c r="B110" s="6"/>
      <c r="C110" s="6"/>
      <c r="D110" s="6"/>
    </row>
    <row r="111" spans="1:4" ht="23" customHeight="1">
      <c r="A111" s="6"/>
      <c r="B111" s="6"/>
      <c r="C111" s="6"/>
      <c r="D111" s="6"/>
    </row>
    <row r="112" spans="1:4" ht="23" customHeight="1">
      <c r="A112" s="6"/>
      <c r="B112" s="6"/>
      <c r="C112" s="6"/>
      <c r="D112" s="6"/>
    </row>
    <row r="113" spans="1:4" ht="23" customHeight="1">
      <c r="A113" s="6"/>
      <c r="B113" s="6"/>
      <c r="C113" s="6"/>
      <c r="D113" s="6"/>
    </row>
    <row r="114" spans="1:4" ht="23" customHeight="1">
      <c r="A114" s="6"/>
      <c r="B114" s="6"/>
      <c r="C114" s="6"/>
      <c r="D114" s="6"/>
    </row>
    <row r="115" spans="1:4" ht="23" customHeight="1">
      <c r="A115" s="6"/>
      <c r="B115" s="6"/>
      <c r="C115" s="6"/>
      <c r="D115" s="6"/>
    </row>
    <row r="116" spans="1:4" ht="23" customHeight="1">
      <c r="A116" s="6"/>
      <c r="B116" s="6"/>
      <c r="C116" s="6"/>
      <c r="D116" s="6"/>
    </row>
    <row r="117" spans="1:4" ht="23" customHeight="1">
      <c r="A117" s="6"/>
      <c r="B117" s="6"/>
      <c r="C117" s="6"/>
      <c r="D117" s="6"/>
    </row>
    <row r="118" spans="1:4" ht="23" customHeight="1">
      <c r="A118" s="6"/>
      <c r="B118" s="6"/>
      <c r="C118" s="6"/>
      <c r="D118" s="6"/>
    </row>
    <row r="119" spans="1:4" ht="23" customHeight="1">
      <c r="A119" s="6"/>
      <c r="B119" s="6"/>
      <c r="C119" s="6"/>
      <c r="D119" s="6"/>
    </row>
    <row r="120" spans="1:4" ht="23" customHeight="1">
      <c r="A120" s="6"/>
      <c r="B120" s="6"/>
      <c r="C120" s="6"/>
      <c r="D120" s="6"/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20"/>
  <sheetViews>
    <sheetView showGridLines="0" workbookViewId="0"/>
  </sheetViews>
  <sheetFormatPr baseColWidth="10" defaultColWidth="8.83203125" defaultRowHeight="14"/>
  <cols>
    <col min="1" max="1" width="50" customWidth="1"/>
    <col min="2" max="3" width="17" customWidth="1"/>
    <col min="4" max="4" width="56" customWidth="1"/>
    <col min="11" max="11" width="42" customWidth="1"/>
    <col min="12" max="12" width="16" customWidth="1"/>
    <col min="13" max="13" width="36" customWidth="1"/>
    <col min="14" max="14" width="62" customWidth="1"/>
    <col min="16" max="19" width="4" customWidth="1"/>
    <col min="21" max="24" width="4" customWidth="1"/>
  </cols>
  <sheetData>
    <row r="1" spans="1:24" ht="31" customHeight="1">
      <c r="A1" s="32" t="s">
        <v>35</v>
      </c>
      <c r="B1" s="33"/>
      <c r="C1" s="33"/>
      <c r="D1" s="34"/>
      <c r="K1" s="36" t="s">
        <v>36</v>
      </c>
      <c r="L1" s="37"/>
      <c r="M1" s="37"/>
      <c r="N1" s="37"/>
      <c r="P1" s="40" t="s">
        <v>37</v>
      </c>
      <c r="Q1" s="40"/>
      <c r="R1" s="40"/>
      <c r="S1" s="40"/>
      <c r="U1" s="40" t="s">
        <v>38</v>
      </c>
      <c r="V1" s="40"/>
      <c r="W1" s="40"/>
      <c r="X1" s="40"/>
    </row>
    <row r="2" spans="1:24" ht="32" customHeight="1">
      <c r="A2" s="35" t="s">
        <v>39</v>
      </c>
      <c r="B2" s="34"/>
      <c r="C2" s="34"/>
      <c r="D2" s="34"/>
      <c r="K2" s="38" t="s">
        <v>40</v>
      </c>
      <c r="L2" s="39"/>
      <c r="M2" s="39"/>
      <c r="N2" s="39"/>
      <c r="P2" s="41" t="s">
        <v>41</v>
      </c>
      <c r="Q2" s="41"/>
      <c r="R2" s="41"/>
      <c r="S2" s="41"/>
      <c r="U2" s="41" t="s">
        <v>41</v>
      </c>
      <c r="V2" s="41"/>
      <c r="W2" s="41"/>
      <c r="X2" s="41"/>
    </row>
    <row r="3" spans="1:24" ht="23" customHeight="1">
      <c r="A3" s="6"/>
      <c r="B3" s="6"/>
      <c r="C3" s="6"/>
      <c r="D3" s="6"/>
    </row>
    <row r="4" spans="1:24" ht="23" customHeight="1">
      <c r="A4" s="7" t="s">
        <v>2</v>
      </c>
      <c r="B4" s="8" t="s">
        <v>42</v>
      </c>
      <c r="C4" s="8" t="s">
        <v>43</v>
      </c>
      <c r="D4" s="8" t="s">
        <v>5</v>
      </c>
      <c r="K4" s="3" t="s">
        <v>2</v>
      </c>
      <c r="L4" s="3" t="s">
        <v>3</v>
      </c>
      <c r="M4" s="3" t="s">
        <v>44</v>
      </c>
      <c r="N4" s="3" t="s">
        <v>45</v>
      </c>
      <c r="P4" t="s">
        <v>2</v>
      </c>
      <c r="Q4" t="s">
        <v>3</v>
      </c>
      <c r="R4" t="s">
        <v>46</v>
      </c>
      <c r="S4" t="s">
        <v>47</v>
      </c>
      <c r="U4" t="s">
        <v>2</v>
      </c>
      <c r="V4" t="s">
        <v>3</v>
      </c>
      <c r="W4" t="s">
        <v>46</v>
      </c>
      <c r="X4" t="s">
        <v>47</v>
      </c>
    </row>
    <row r="5" spans="1:24" ht="23" customHeight="1">
      <c r="A5" s="12" t="s">
        <v>48</v>
      </c>
      <c r="B5" s="13"/>
      <c r="C5" s="13"/>
      <c r="D5" s="14"/>
      <c r="K5" s="1" t="s">
        <v>49</v>
      </c>
      <c r="L5" s="2">
        <v>3608000</v>
      </c>
      <c r="M5" s="1" t="s">
        <v>50</v>
      </c>
      <c r="N5" s="1" t="s">
        <v>51</v>
      </c>
      <c r="P5" t="s">
        <v>52</v>
      </c>
      <c r="R5" t="s">
        <v>53</v>
      </c>
      <c r="U5" t="s">
        <v>52</v>
      </c>
      <c r="W5" t="s">
        <v>53</v>
      </c>
    </row>
    <row r="6" spans="1:24" ht="23" customHeight="1">
      <c r="A6" s="9" t="s">
        <v>54</v>
      </c>
      <c r="B6" s="10">
        <v>2920000</v>
      </c>
      <c r="C6" s="10">
        <v>3125000</v>
      </c>
      <c r="D6" s="11" t="s">
        <v>55</v>
      </c>
      <c r="K6" s="1" t="s">
        <v>56</v>
      </c>
      <c r="L6" s="2">
        <v>254000</v>
      </c>
      <c r="M6" s="1" t="s">
        <v>57</v>
      </c>
      <c r="N6" s="1" t="s">
        <v>58</v>
      </c>
      <c r="P6" t="s">
        <v>59</v>
      </c>
      <c r="U6" t="s">
        <v>60</v>
      </c>
    </row>
    <row r="7" spans="1:24" ht="23" customHeight="1">
      <c r="A7" s="9" t="s">
        <v>61</v>
      </c>
      <c r="B7" s="10">
        <v>25652000</v>
      </c>
      <c r="C7" s="10">
        <v>27977000</v>
      </c>
      <c r="D7" s="11" t="s">
        <v>55</v>
      </c>
      <c r="K7" s="1" t="s">
        <v>62</v>
      </c>
      <c r="L7" s="2">
        <v>251000</v>
      </c>
      <c r="M7" s="1" t="s">
        <v>63</v>
      </c>
      <c r="N7" s="1" t="s">
        <v>64</v>
      </c>
      <c r="P7" t="s">
        <v>65</v>
      </c>
      <c r="R7" t="s">
        <v>66</v>
      </c>
      <c r="S7" t="s">
        <v>67</v>
      </c>
      <c r="U7" t="s">
        <v>68</v>
      </c>
      <c r="W7" t="s">
        <v>69</v>
      </c>
    </row>
    <row r="8" spans="1:24" ht="23" customHeight="1">
      <c r="A8" s="9" t="s">
        <v>70</v>
      </c>
      <c r="B8" s="10">
        <v>3721000</v>
      </c>
      <c r="C8" s="10">
        <v>3186000</v>
      </c>
      <c r="D8" s="11" t="s">
        <v>55</v>
      </c>
      <c r="K8" s="4" t="s">
        <v>71</v>
      </c>
      <c r="L8" s="5">
        <f>L5+L6-L7</f>
        <v>3611000</v>
      </c>
      <c r="M8" s="4" t="s">
        <v>72</v>
      </c>
      <c r="N8" s="4" t="s">
        <v>73</v>
      </c>
      <c r="P8" t="s">
        <v>74</v>
      </c>
      <c r="R8" t="s">
        <v>75</v>
      </c>
      <c r="S8" t="s">
        <v>76</v>
      </c>
      <c r="U8" t="s">
        <v>77</v>
      </c>
      <c r="W8" t="s">
        <v>78</v>
      </c>
    </row>
    <row r="9" spans="1:24" ht="23" customHeight="1">
      <c r="A9" s="9" t="s">
        <v>79</v>
      </c>
      <c r="B9" s="10">
        <v>1000000</v>
      </c>
      <c r="C9" s="10">
        <v>1533000</v>
      </c>
      <c r="D9" s="11" t="s">
        <v>55</v>
      </c>
      <c r="K9" s="1" t="s">
        <v>80</v>
      </c>
      <c r="L9" s="2">
        <v>98000</v>
      </c>
      <c r="M9" s="1" t="s">
        <v>81</v>
      </c>
      <c r="N9" s="1" t="s">
        <v>82</v>
      </c>
      <c r="P9" t="s">
        <v>83</v>
      </c>
      <c r="R9" t="s">
        <v>84</v>
      </c>
      <c r="S9" t="s">
        <v>85</v>
      </c>
      <c r="U9" t="s">
        <v>86</v>
      </c>
      <c r="W9" t="s">
        <v>87</v>
      </c>
    </row>
    <row r="10" spans="1:24" ht="23" customHeight="1">
      <c r="A10" s="9" t="s">
        <v>88</v>
      </c>
      <c r="B10" s="10">
        <v>3368000</v>
      </c>
      <c r="C10" s="10">
        <v>4405000</v>
      </c>
      <c r="D10" s="11" t="s">
        <v>55</v>
      </c>
      <c r="K10" s="1" t="s">
        <v>89</v>
      </c>
      <c r="L10" s="2">
        <v>41000</v>
      </c>
      <c r="M10" s="1" t="s">
        <v>57</v>
      </c>
      <c r="N10" s="1" t="s">
        <v>90</v>
      </c>
      <c r="P10" t="s">
        <v>91</v>
      </c>
      <c r="R10" t="s">
        <v>92</v>
      </c>
      <c r="S10" t="s">
        <v>93</v>
      </c>
      <c r="U10" t="s">
        <v>94</v>
      </c>
      <c r="W10" t="s">
        <v>95</v>
      </c>
    </row>
    <row r="11" spans="1:24" ht="23" customHeight="1">
      <c r="A11" s="9" t="s">
        <v>96</v>
      </c>
      <c r="B11" s="10">
        <v>1394000</v>
      </c>
      <c r="C11" s="10">
        <v>1696000</v>
      </c>
      <c r="D11" s="11" t="s">
        <v>55</v>
      </c>
      <c r="K11" s="1" t="s">
        <v>97</v>
      </c>
      <c r="L11" s="2">
        <v>14000</v>
      </c>
      <c r="M11" s="1" t="s">
        <v>7</v>
      </c>
      <c r="N11" s="1" t="s">
        <v>98</v>
      </c>
      <c r="P11" t="s">
        <v>99</v>
      </c>
      <c r="R11" t="s">
        <v>19</v>
      </c>
      <c r="U11" t="s">
        <v>100</v>
      </c>
      <c r="W11" t="s">
        <v>101</v>
      </c>
    </row>
    <row r="12" spans="1:24" ht="23" customHeight="1">
      <c r="A12" s="12" t="s">
        <v>102</v>
      </c>
      <c r="B12" s="13">
        <v>38055000</v>
      </c>
      <c r="C12" s="13">
        <v>41922000</v>
      </c>
      <c r="D12" s="14" t="s">
        <v>55</v>
      </c>
      <c r="K12" s="4" t="s">
        <v>103</v>
      </c>
      <c r="L12" s="5">
        <f>L9+L10+L11</f>
        <v>153000</v>
      </c>
      <c r="M12" s="4" t="s">
        <v>104</v>
      </c>
      <c r="N12" s="4" t="s">
        <v>105</v>
      </c>
      <c r="P12" t="s">
        <v>106</v>
      </c>
      <c r="R12" t="s">
        <v>107</v>
      </c>
      <c r="U12" t="s">
        <v>108</v>
      </c>
      <c r="W12" t="s">
        <v>109</v>
      </c>
    </row>
    <row r="13" spans="1:24" ht="23" customHeight="1">
      <c r="A13" s="9" t="s">
        <v>110</v>
      </c>
      <c r="B13" s="10">
        <v>1227000</v>
      </c>
      <c r="C13" s="10">
        <v>524000</v>
      </c>
      <c r="D13" s="11" t="s">
        <v>55</v>
      </c>
      <c r="K13" s="1" t="s">
        <v>111</v>
      </c>
      <c r="L13" s="2">
        <v>20000</v>
      </c>
      <c r="M13" s="1" t="s">
        <v>112</v>
      </c>
      <c r="N13" s="1" t="s">
        <v>113</v>
      </c>
      <c r="P13" t="s">
        <v>114</v>
      </c>
      <c r="R13" t="s">
        <v>115</v>
      </c>
      <c r="S13" t="s">
        <v>116</v>
      </c>
      <c r="U13" t="s">
        <v>117</v>
      </c>
      <c r="W13" t="s">
        <v>118</v>
      </c>
    </row>
    <row r="14" spans="1:24" ht="23" customHeight="1">
      <c r="A14" s="9" t="s">
        <v>119</v>
      </c>
      <c r="B14" s="10">
        <v>5475000</v>
      </c>
      <c r="C14" s="10">
        <v>6211000</v>
      </c>
      <c r="D14" s="11" t="s">
        <v>55</v>
      </c>
      <c r="K14" s="1" t="s">
        <v>120</v>
      </c>
      <c r="L14" s="2">
        <v>93000</v>
      </c>
      <c r="M14" s="1" t="s">
        <v>112</v>
      </c>
      <c r="N14" s="1" t="s">
        <v>121</v>
      </c>
      <c r="P14" t="s">
        <v>122</v>
      </c>
      <c r="R14" t="s">
        <v>123</v>
      </c>
      <c r="U14" t="s">
        <v>124</v>
      </c>
      <c r="W14" t="s">
        <v>125</v>
      </c>
    </row>
    <row r="15" spans="1:24" ht="23" customHeight="1">
      <c r="A15" s="9" t="s">
        <v>126</v>
      </c>
      <c r="B15" s="10">
        <v>6557000</v>
      </c>
      <c r="C15" s="10">
        <v>7364000</v>
      </c>
      <c r="D15" s="11" t="s">
        <v>55</v>
      </c>
      <c r="K15" s="4" t="s">
        <v>127</v>
      </c>
      <c r="L15" s="5">
        <f>L14-L13</f>
        <v>73000</v>
      </c>
      <c r="M15" s="4" t="s">
        <v>128</v>
      </c>
      <c r="N15" s="4" t="s">
        <v>129</v>
      </c>
      <c r="P15" t="s">
        <v>130</v>
      </c>
      <c r="U15" t="s">
        <v>131</v>
      </c>
      <c r="W15" t="s">
        <v>132</v>
      </c>
    </row>
    <row r="16" spans="1:24" ht="23" customHeight="1">
      <c r="A16" s="9" t="s">
        <v>133</v>
      </c>
      <c r="B16" s="10">
        <v>135000</v>
      </c>
      <c r="C16" s="10">
        <v>296000</v>
      </c>
      <c r="D16" s="11" t="s">
        <v>55</v>
      </c>
      <c r="K16" s="1" t="s">
        <v>134</v>
      </c>
      <c r="L16" s="2">
        <v>552000</v>
      </c>
      <c r="M16" s="1" t="s">
        <v>135</v>
      </c>
      <c r="N16" s="1" t="s">
        <v>136</v>
      </c>
      <c r="P16" t="s">
        <v>137</v>
      </c>
      <c r="U16" t="s">
        <v>138</v>
      </c>
      <c r="W16" t="s">
        <v>132</v>
      </c>
    </row>
    <row r="17" spans="1:24" ht="23" customHeight="1">
      <c r="A17" s="9" t="s">
        <v>139</v>
      </c>
      <c r="B17" s="10">
        <v>4718000</v>
      </c>
      <c r="C17" s="10">
        <v>2111000</v>
      </c>
      <c r="D17" s="11" t="s">
        <v>55</v>
      </c>
      <c r="K17" s="1" t="s">
        <v>140</v>
      </c>
      <c r="L17" s="2">
        <v>343000</v>
      </c>
      <c r="M17" s="1" t="s">
        <v>141</v>
      </c>
      <c r="N17" s="1" t="s">
        <v>142</v>
      </c>
      <c r="P17" t="s">
        <v>143</v>
      </c>
      <c r="R17" t="s">
        <v>144</v>
      </c>
      <c r="S17" t="s">
        <v>145</v>
      </c>
      <c r="U17" t="s">
        <v>146</v>
      </c>
      <c r="W17" t="s">
        <v>132</v>
      </c>
    </row>
    <row r="18" spans="1:24" ht="23" customHeight="1">
      <c r="A18" s="9" t="s">
        <v>147</v>
      </c>
      <c r="B18" s="10">
        <v>3261000</v>
      </c>
      <c r="C18" s="10">
        <v>4758000</v>
      </c>
      <c r="D18" s="11" t="s">
        <v>55</v>
      </c>
      <c r="K18" s="1" t="s">
        <v>148</v>
      </c>
      <c r="L18" s="2">
        <v>1254000</v>
      </c>
      <c r="M18" s="1" t="s">
        <v>141</v>
      </c>
      <c r="N18" s="1" t="s">
        <v>149</v>
      </c>
      <c r="P18" t="s">
        <v>150</v>
      </c>
      <c r="R18" t="s">
        <v>151</v>
      </c>
      <c r="U18" t="s">
        <v>152</v>
      </c>
      <c r="W18" t="s">
        <v>153</v>
      </c>
    </row>
    <row r="19" spans="1:24" ht="23" customHeight="1">
      <c r="A19" s="12" t="s">
        <v>154</v>
      </c>
      <c r="B19" s="13">
        <v>21373000</v>
      </c>
      <c r="C19" s="13">
        <v>21264000</v>
      </c>
      <c r="D19" s="14" t="s">
        <v>55</v>
      </c>
      <c r="K19" s="1" t="s">
        <v>155</v>
      </c>
      <c r="L19" s="2">
        <v>302000</v>
      </c>
      <c r="M19" s="1" t="s">
        <v>156</v>
      </c>
      <c r="N19" s="1" t="s">
        <v>157</v>
      </c>
      <c r="P19" t="s">
        <v>127</v>
      </c>
      <c r="R19" t="s">
        <v>158</v>
      </c>
      <c r="U19" t="s">
        <v>83</v>
      </c>
      <c r="W19" t="s">
        <v>159</v>
      </c>
    </row>
    <row r="20" spans="1:24" ht="23" customHeight="1">
      <c r="A20" s="12" t="s">
        <v>160</v>
      </c>
      <c r="B20" s="13">
        <v>59428000</v>
      </c>
      <c r="C20" s="13">
        <v>63186000</v>
      </c>
      <c r="D20" s="14" t="s">
        <v>55</v>
      </c>
      <c r="K20" s="1" t="s">
        <v>161</v>
      </c>
      <c r="L20" s="2">
        <v>376000</v>
      </c>
      <c r="M20" s="1" t="s">
        <v>162</v>
      </c>
      <c r="N20" s="1" t="s">
        <v>163</v>
      </c>
      <c r="P20" t="s">
        <v>164</v>
      </c>
      <c r="R20" t="s">
        <v>165</v>
      </c>
      <c r="U20" t="s">
        <v>166</v>
      </c>
      <c r="W20" t="s">
        <v>167</v>
      </c>
      <c r="X20" t="s">
        <v>168</v>
      </c>
    </row>
    <row r="21" spans="1:24" ht="23" customHeight="1">
      <c r="A21" s="12" t="s">
        <v>169</v>
      </c>
      <c r="B21" s="13"/>
      <c r="C21" s="13"/>
      <c r="D21" s="14"/>
      <c r="K21" s="1" t="s">
        <v>170</v>
      </c>
      <c r="L21" s="2">
        <v>-2084000</v>
      </c>
      <c r="M21" s="1" t="s">
        <v>171</v>
      </c>
      <c r="N21" s="1" t="s">
        <v>172</v>
      </c>
      <c r="P21" t="s">
        <v>155</v>
      </c>
      <c r="R21" t="s">
        <v>173</v>
      </c>
      <c r="U21" t="s">
        <v>174</v>
      </c>
      <c r="W21" t="s">
        <v>175</v>
      </c>
      <c r="X21" t="s">
        <v>176</v>
      </c>
    </row>
    <row r="22" spans="1:24" ht="23" customHeight="1">
      <c r="A22" s="9" t="s">
        <v>177</v>
      </c>
      <c r="B22" s="10">
        <v>1105000</v>
      </c>
      <c r="C22" s="10">
        <v>1157000</v>
      </c>
      <c r="D22" s="11" t="s">
        <v>178</v>
      </c>
      <c r="K22" s="1" t="s">
        <v>179</v>
      </c>
      <c r="L22" s="2">
        <v>315000</v>
      </c>
      <c r="M22" s="1" t="s">
        <v>180</v>
      </c>
      <c r="N22" s="1" t="s">
        <v>181</v>
      </c>
      <c r="P22" t="s">
        <v>161</v>
      </c>
      <c r="R22" t="s">
        <v>182</v>
      </c>
      <c r="U22" t="s">
        <v>183</v>
      </c>
    </row>
    <row r="23" spans="1:24" ht="42" customHeight="1">
      <c r="A23" s="9" t="s">
        <v>184</v>
      </c>
      <c r="B23" s="10">
        <v>20607000</v>
      </c>
      <c r="C23" s="10">
        <v>20681000</v>
      </c>
      <c r="D23" s="11" t="s">
        <v>185</v>
      </c>
      <c r="K23" s="1" t="s">
        <v>186</v>
      </c>
      <c r="L23" s="2">
        <v>1500000</v>
      </c>
      <c r="M23" s="1" t="s">
        <v>187</v>
      </c>
      <c r="N23" s="1" t="s">
        <v>188</v>
      </c>
      <c r="P23" t="s">
        <v>189</v>
      </c>
      <c r="U23" t="s">
        <v>137</v>
      </c>
    </row>
    <row r="24" spans="1:24" ht="23" customHeight="1">
      <c r="A24" s="9" t="s">
        <v>190</v>
      </c>
      <c r="B24" s="10">
        <v>-3000</v>
      </c>
      <c r="C24" s="10">
        <v>-2000</v>
      </c>
      <c r="D24" s="11" t="s">
        <v>178</v>
      </c>
      <c r="K24" s="1" t="s">
        <v>191</v>
      </c>
      <c r="L24" s="2">
        <v>-758000</v>
      </c>
      <c r="M24" s="1" t="s">
        <v>192</v>
      </c>
      <c r="N24" s="1" t="s">
        <v>193</v>
      </c>
      <c r="P24" t="s">
        <v>194</v>
      </c>
      <c r="U24" t="s">
        <v>189</v>
      </c>
      <c r="W24" t="s">
        <v>195</v>
      </c>
    </row>
    <row r="25" spans="1:24" ht="23" customHeight="1">
      <c r="A25" s="9" t="s">
        <v>196</v>
      </c>
      <c r="B25" s="10">
        <v>3046000</v>
      </c>
      <c r="C25" s="10">
        <v>2291000</v>
      </c>
      <c r="D25" s="11" t="s">
        <v>178</v>
      </c>
      <c r="K25" s="4" t="s">
        <v>197</v>
      </c>
      <c r="L25" s="5">
        <f>L23+L24</f>
        <v>742000</v>
      </c>
      <c r="M25" s="4" t="s">
        <v>198</v>
      </c>
      <c r="N25" s="4" t="s">
        <v>199</v>
      </c>
      <c r="P25" t="s">
        <v>200</v>
      </c>
      <c r="R25" t="s">
        <v>201</v>
      </c>
      <c r="U25" t="s">
        <v>194</v>
      </c>
    </row>
    <row r="26" spans="1:24" ht="23" customHeight="1">
      <c r="A26" s="9" t="s">
        <v>202</v>
      </c>
      <c r="B26" s="10">
        <v>1899000</v>
      </c>
      <c r="C26" s="10">
        <v>1756000</v>
      </c>
      <c r="D26" s="11" t="s">
        <v>178</v>
      </c>
      <c r="K26" s="1" t="s">
        <v>203</v>
      </c>
      <c r="L26" s="2">
        <v>-727000</v>
      </c>
      <c r="M26" s="1" t="s">
        <v>204</v>
      </c>
      <c r="N26" s="1" t="s">
        <v>205</v>
      </c>
      <c r="P26" t="s">
        <v>206</v>
      </c>
      <c r="R26" t="s">
        <v>207</v>
      </c>
      <c r="U26" t="s">
        <v>208</v>
      </c>
      <c r="W26" t="s">
        <v>209</v>
      </c>
    </row>
    <row r="27" spans="1:24" ht="23" customHeight="1">
      <c r="A27" s="9" t="s">
        <v>210</v>
      </c>
      <c r="B27" s="10">
        <v>-1514000</v>
      </c>
      <c r="C27" s="10">
        <v>606000</v>
      </c>
      <c r="D27" s="11" t="s">
        <v>211</v>
      </c>
      <c r="K27" s="1" t="s">
        <v>212</v>
      </c>
      <c r="L27" s="2">
        <v>25000</v>
      </c>
      <c r="M27" s="1" t="s">
        <v>204</v>
      </c>
      <c r="N27" s="1" t="s">
        <v>213</v>
      </c>
      <c r="P27" t="s">
        <v>214</v>
      </c>
      <c r="R27" t="s">
        <v>215</v>
      </c>
      <c r="U27" t="s">
        <v>216</v>
      </c>
      <c r="X27" t="s">
        <v>217</v>
      </c>
    </row>
    <row r="28" spans="1:24" ht="23" customHeight="1">
      <c r="A28" s="9" t="s">
        <v>218</v>
      </c>
      <c r="B28" s="10">
        <v>2478000</v>
      </c>
      <c r="C28" s="10">
        <v>2610000</v>
      </c>
      <c r="D28" s="11" t="s">
        <v>211</v>
      </c>
      <c r="K28" s="1" t="s">
        <v>219</v>
      </c>
      <c r="L28" s="2">
        <v>-103000</v>
      </c>
      <c r="M28" s="1" t="s">
        <v>220</v>
      </c>
      <c r="N28" s="1" t="s">
        <v>221</v>
      </c>
      <c r="P28" t="s">
        <v>222</v>
      </c>
      <c r="R28" t="s">
        <v>223</v>
      </c>
      <c r="U28" t="s">
        <v>224</v>
      </c>
    </row>
    <row r="29" spans="1:24" ht="23" customHeight="1">
      <c r="A29" s="12" t="s">
        <v>225</v>
      </c>
      <c r="B29" s="13">
        <v>27618000</v>
      </c>
      <c r="C29" s="13">
        <v>29099000</v>
      </c>
      <c r="D29" s="14" t="s">
        <v>226</v>
      </c>
      <c r="K29" s="4" t="s">
        <v>227</v>
      </c>
      <c r="L29" s="5">
        <f>L26+L27+L28</f>
        <v>-805000</v>
      </c>
      <c r="M29" s="4" t="s">
        <v>228</v>
      </c>
      <c r="N29" s="4" t="s">
        <v>229</v>
      </c>
      <c r="P29" t="s">
        <v>230</v>
      </c>
      <c r="R29" t="s">
        <v>231</v>
      </c>
      <c r="U29" t="s">
        <v>232</v>
      </c>
      <c r="W29" t="s">
        <v>233</v>
      </c>
    </row>
    <row r="30" spans="1:24" ht="23" customHeight="1">
      <c r="A30" s="9" t="s">
        <v>234</v>
      </c>
      <c r="B30" s="10">
        <v>3002000</v>
      </c>
      <c r="C30" s="10">
        <v>5137000</v>
      </c>
      <c r="D30" s="11" t="s">
        <v>55</v>
      </c>
      <c r="P30" t="s">
        <v>179</v>
      </c>
      <c r="R30" t="s">
        <v>235</v>
      </c>
      <c r="U30" t="s">
        <v>236</v>
      </c>
      <c r="W30" t="s">
        <v>237</v>
      </c>
      <c r="X30" t="s">
        <v>238</v>
      </c>
    </row>
    <row r="31" spans="1:24" ht="23" customHeight="1">
      <c r="A31" s="9" t="s">
        <v>239</v>
      </c>
      <c r="B31" s="10">
        <v>11410000</v>
      </c>
      <c r="C31" s="10">
        <v>9433000</v>
      </c>
      <c r="D31" s="11" t="s">
        <v>55</v>
      </c>
      <c r="P31" t="s">
        <v>240</v>
      </c>
      <c r="R31" t="s">
        <v>241</v>
      </c>
      <c r="U31" t="s">
        <v>242</v>
      </c>
      <c r="W31" t="s">
        <v>243</v>
      </c>
    </row>
    <row r="32" spans="1:24" ht="23" customHeight="1">
      <c r="A32" s="9" t="s">
        <v>244</v>
      </c>
      <c r="B32" s="10">
        <v>2419000</v>
      </c>
      <c r="C32" s="10">
        <v>2658000</v>
      </c>
      <c r="D32" s="11" t="s">
        <v>55</v>
      </c>
      <c r="P32" t="s">
        <v>208</v>
      </c>
      <c r="U32" t="s">
        <v>245</v>
      </c>
    </row>
    <row r="33" spans="1:24" ht="23" customHeight="1">
      <c r="A33" s="9" t="s">
        <v>246</v>
      </c>
      <c r="B33" s="10">
        <v>1099000</v>
      </c>
      <c r="C33" s="10">
        <v>1176000</v>
      </c>
      <c r="D33" s="11" t="s">
        <v>55</v>
      </c>
      <c r="P33" t="s">
        <v>216</v>
      </c>
      <c r="S33" t="s">
        <v>217</v>
      </c>
      <c r="U33" t="s">
        <v>247</v>
      </c>
      <c r="W33" t="s">
        <v>248</v>
      </c>
    </row>
    <row r="34" spans="1:24" ht="23" customHeight="1">
      <c r="A34" s="12" t="s">
        <v>249</v>
      </c>
      <c r="B34" s="13">
        <v>17930000</v>
      </c>
      <c r="C34" s="13">
        <v>18404000</v>
      </c>
      <c r="D34" s="14" t="s">
        <v>55</v>
      </c>
      <c r="P34" t="s">
        <v>224</v>
      </c>
      <c r="U34" t="s">
        <v>250</v>
      </c>
      <c r="X34" t="s">
        <v>251</v>
      </c>
    </row>
    <row r="35" spans="1:24" ht="23" customHeight="1">
      <c r="A35" s="9" t="s">
        <v>252</v>
      </c>
      <c r="B35" s="10">
        <v>466000</v>
      </c>
      <c r="C35" s="10">
        <v>4000</v>
      </c>
      <c r="D35" s="11" t="s">
        <v>55</v>
      </c>
      <c r="P35" t="s">
        <v>232</v>
      </c>
      <c r="R35" t="s">
        <v>233</v>
      </c>
    </row>
    <row r="36" spans="1:24" ht="23" customHeight="1">
      <c r="A36" s="9" t="s">
        <v>253</v>
      </c>
      <c r="B36" s="10">
        <v>1177000</v>
      </c>
      <c r="C36" s="10">
        <v>1514000</v>
      </c>
      <c r="D36" s="11" t="s">
        <v>55</v>
      </c>
      <c r="P36" t="s">
        <v>236</v>
      </c>
      <c r="R36" t="s">
        <v>237</v>
      </c>
      <c r="S36" t="s">
        <v>238</v>
      </c>
    </row>
    <row r="37" spans="1:24" ht="23" customHeight="1">
      <c r="A37" s="9" t="s">
        <v>254</v>
      </c>
      <c r="B37" s="10">
        <v>2018000</v>
      </c>
      <c r="C37" s="10">
        <v>2945000</v>
      </c>
      <c r="D37" s="11" t="s">
        <v>55</v>
      </c>
      <c r="P37" t="s">
        <v>242</v>
      </c>
      <c r="R37" t="s">
        <v>243</v>
      </c>
    </row>
    <row r="38" spans="1:24" ht="23" customHeight="1">
      <c r="A38" s="9" t="s">
        <v>255</v>
      </c>
      <c r="B38" s="10">
        <v>10219000</v>
      </c>
      <c r="C38" s="10">
        <v>11220000</v>
      </c>
      <c r="D38" s="11" t="s">
        <v>55</v>
      </c>
      <c r="P38" t="s">
        <v>245</v>
      </c>
    </row>
    <row r="39" spans="1:24" ht="23" customHeight="1">
      <c r="A39" s="12" t="s">
        <v>256</v>
      </c>
      <c r="B39" s="13">
        <v>13880000</v>
      </c>
      <c r="C39" s="13">
        <v>15683000</v>
      </c>
      <c r="D39" s="14" t="s">
        <v>55</v>
      </c>
      <c r="P39" t="s">
        <v>247</v>
      </c>
      <c r="R39" t="s">
        <v>248</v>
      </c>
    </row>
    <row r="40" spans="1:24" ht="23" customHeight="1">
      <c r="A40" s="12" t="s">
        <v>257</v>
      </c>
      <c r="B40" s="13">
        <v>59428000</v>
      </c>
      <c r="C40" s="13">
        <v>63186000</v>
      </c>
      <c r="D40" s="14" t="s">
        <v>55</v>
      </c>
      <c r="P40" t="s">
        <v>250</v>
      </c>
      <c r="S40" t="s">
        <v>251</v>
      </c>
    </row>
    <row r="41" spans="1:24" ht="23" customHeight="1">
      <c r="A41" s="19"/>
      <c r="B41" s="20"/>
      <c r="C41" s="20"/>
      <c r="D41" s="21"/>
    </row>
    <row r="42" spans="1:24" ht="23" customHeight="1">
      <c r="A42" s="19" t="s">
        <v>258</v>
      </c>
      <c r="B42" s="20"/>
      <c r="C42" s="20"/>
      <c r="D42" s="21" t="s">
        <v>178</v>
      </c>
    </row>
    <row r="43" spans="1:24" ht="23" customHeight="1">
      <c r="A43" s="9" t="s">
        <v>206</v>
      </c>
      <c r="B43" s="10">
        <v>-1388000</v>
      </c>
      <c r="C43" s="10">
        <v>-1494000</v>
      </c>
      <c r="D43" s="11" t="s">
        <v>178</v>
      </c>
    </row>
    <row r="44" spans="1:24" ht="23" customHeight="1">
      <c r="A44" s="9" t="s">
        <v>259</v>
      </c>
      <c r="B44" s="10">
        <v>-691000</v>
      </c>
      <c r="C44" s="10">
        <v>-812000</v>
      </c>
      <c r="D44" s="11" t="s">
        <v>178</v>
      </c>
    </row>
    <row r="45" spans="1:24" ht="23" customHeight="1">
      <c r="A45" s="9" t="s">
        <v>260</v>
      </c>
      <c r="B45" s="10">
        <v>0</v>
      </c>
      <c r="C45" s="10">
        <v>0</v>
      </c>
      <c r="D45" s="11" t="s">
        <v>178</v>
      </c>
    </row>
    <row r="46" spans="1:24" ht="23" customHeight="1">
      <c r="A46" s="9" t="s">
        <v>261</v>
      </c>
      <c r="B46" s="10">
        <v>678000</v>
      </c>
      <c r="C46" s="10">
        <v>-59000</v>
      </c>
      <c r="D46" s="11" t="s">
        <v>178</v>
      </c>
    </row>
    <row r="47" spans="1:24" ht="23" customHeight="1">
      <c r="A47" s="9" t="s">
        <v>262</v>
      </c>
      <c r="B47" s="10">
        <v>107000</v>
      </c>
      <c r="C47" s="10">
        <v>0</v>
      </c>
      <c r="D47" s="11" t="s">
        <v>178</v>
      </c>
    </row>
    <row r="48" spans="1:24" ht="23" customHeight="1">
      <c r="A48" s="9" t="s">
        <v>263</v>
      </c>
      <c r="B48" s="10">
        <v>65000</v>
      </c>
      <c r="C48" s="10">
        <v>183000</v>
      </c>
      <c r="D48" s="11" t="s">
        <v>178</v>
      </c>
    </row>
    <row r="49" spans="1:4" ht="23" customHeight="1">
      <c r="A49" s="17" t="s">
        <v>264</v>
      </c>
      <c r="B49" s="22">
        <v>-1000</v>
      </c>
      <c r="C49" s="22">
        <v>-2000</v>
      </c>
      <c r="D49" s="18" t="s">
        <v>178</v>
      </c>
    </row>
    <row r="50" spans="1:4" ht="23" customHeight="1">
      <c r="A50" s="6"/>
      <c r="B50" s="6"/>
      <c r="C50" s="6"/>
      <c r="D50" s="6"/>
    </row>
    <row r="51" spans="1:4" ht="23" customHeight="1">
      <c r="A51" s="6"/>
      <c r="B51" s="6"/>
      <c r="C51" s="6"/>
      <c r="D51" s="6"/>
    </row>
    <row r="52" spans="1:4" ht="23" customHeight="1">
      <c r="A52" s="6"/>
      <c r="B52" s="6"/>
      <c r="C52" s="6"/>
      <c r="D52" s="6"/>
    </row>
    <row r="53" spans="1:4" ht="23" customHeight="1">
      <c r="A53" s="6"/>
      <c r="B53" s="6"/>
      <c r="C53" s="6"/>
      <c r="D53" s="6"/>
    </row>
    <row r="54" spans="1:4" ht="23" customHeight="1">
      <c r="A54" s="6"/>
      <c r="B54" s="6"/>
      <c r="C54" s="6"/>
      <c r="D54" s="6"/>
    </row>
    <row r="55" spans="1:4" ht="23" customHeight="1">
      <c r="A55" s="6"/>
      <c r="B55" s="6"/>
      <c r="C55" s="6"/>
      <c r="D55" s="6"/>
    </row>
    <row r="56" spans="1:4" ht="23" customHeight="1">
      <c r="A56" s="6"/>
      <c r="B56" s="6"/>
      <c r="C56" s="6"/>
      <c r="D56" s="6"/>
    </row>
    <row r="57" spans="1:4" ht="23" customHeight="1">
      <c r="A57" s="6"/>
      <c r="B57" s="6"/>
      <c r="C57" s="6"/>
      <c r="D57" s="6"/>
    </row>
    <row r="58" spans="1:4" ht="23" customHeight="1">
      <c r="A58" s="6"/>
      <c r="B58" s="6"/>
      <c r="C58" s="6"/>
      <c r="D58" s="6"/>
    </row>
    <row r="59" spans="1:4" ht="23" customHeight="1">
      <c r="A59" s="6"/>
      <c r="B59" s="6"/>
      <c r="C59" s="6"/>
      <c r="D59" s="6"/>
    </row>
    <row r="60" spans="1:4" ht="23" customHeight="1">
      <c r="A60" s="6"/>
      <c r="B60" s="6"/>
      <c r="C60" s="6"/>
      <c r="D60" s="6"/>
    </row>
    <row r="61" spans="1:4" ht="23" customHeight="1">
      <c r="A61" s="6"/>
      <c r="B61" s="6"/>
      <c r="C61" s="6"/>
      <c r="D61" s="6"/>
    </row>
    <row r="62" spans="1:4" ht="23" customHeight="1">
      <c r="A62" s="6"/>
      <c r="B62" s="6"/>
      <c r="C62" s="6"/>
      <c r="D62" s="6"/>
    </row>
    <row r="63" spans="1:4" ht="23" customHeight="1">
      <c r="A63" s="6"/>
      <c r="B63" s="6"/>
      <c r="C63" s="6"/>
      <c r="D63" s="6"/>
    </row>
    <row r="64" spans="1:4" ht="23" customHeight="1">
      <c r="A64" s="6"/>
      <c r="B64" s="6"/>
      <c r="C64" s="6"/>
      <c r="D64" s="6"/>
    </row>
    <row r="65" spans="1:4" ht="23" customHeight="1">
      <c r="A65" s="6"/>
      <c r="B65" s="6"/>
      <c r="C65" s="6"/>
      <c r="D65" s="6"/>
    </row>
    <row r="66" spans="1:4" ht="23" customHeight="1">
      <c r="A66" s="6"/>
      <c r="B66" s="6"/>
      <c r="C66" s="6"/>
      <c r="D66" s="6"/>
    </row>
    <row r="67" spans="1:4" ht="23" customHeight="1">
      <c r="A67" s="6"/>
      <c r="B67" s="6"/>
      <c r="C67" s="6"/>
      <c r="D67" s="6"/>
    </row>
    <row r="68" spans="1:4" ht="23" customHeight="1">
      <c r="A68" s="6"/>
      <c r="B68" s="6"/>
      <c r="C68" s="6"/>
      <c r="D68" s="6"/>
    </row>
    <row r="69" spans="1:4" ht="23" customHeight="1">
      <c r="A69" s="6"/>
      <c r="B69" s="6"/>
      <c r="C69" s="6"/>
      <c r="D69" s="6"/>
    </row>
    <row r="70" spans="1:4" ht="23" customHeight="1">
      <c r="A70" s="6"/>
      <c r="B70" s="6"/>
      <c r="C70" s="6"/>
      <c r="D70" s="6"/>
    </row>
    <row r="71" spans="1:4" ht="23" customHeight="1">
      <c r="A71" s="6"/>
      <c r="B71" s="6"/>
      <c r="C71" s="6"/>
      <c r="D71" s="6"/>
    </row>
    <row r="72" spans="1:4" ht="23" customHeight="1">
      <c r="A72" s="6"/>
      <c r="B72" s="6"/>
      <c r="C72" s="6"/>
      <c r="D72" s="6"/>
    </row>
    <row r="73" spans="1:4" ht="23" customHeight="1">
      <c r="A73" s="6"/>
      <c r="B73" s="6"/>
      <c r="C73" s="6"/>
      <c r="D73" s="6"/>
    </row>
    <row r="74" spans="1:4" ht="23" customHeight="1">
      <c r="A74" s="6"/>
      <c r="B74" s="6"/>
      <c r="C74" s="6"/>
      <c r="D74" s="6"/>
    </row>
    <row r="75" spans="1:4" ht="23" customHeight="1">
      <c r="A75" s="6"/>
      <c r="B75" s="6"/>
      <c r="C75" s="6"/>
      <c r="D75" s="6"/>
    </row>
    <row r="76" spans="1:4" ht="23" customHeight="1">
      <c r="A76" s="6"/>
      <c r="B76" s="6"/>
      <c r="C76" s="6"/>
      <c r="D76" s="6"/>
    </row>
    <row r="77" spans="1:4" ht="23" customHeight="1">
      <c r="A77" s="6"/>
      <c r="B77" s="6"/>
      <c r="C77" s="6"/>
      <c r="D77" s="6"/>
    </row>
    <row r="78" spans="1:4" ht="23" customHeight="1">
      <c r="A78" s="6"/>
      <c r="B78" s="6"/>
      <c r="C78" s="6"/>
      <c r="D78" s="6"/>
    </row>
    <row r="79" spans="1:4" ht="23" customHeight="1">
      <c r="A79" s="6"/>
      <c r="B79" s="6"/>
      <c r="C79" s="6"/>
      <c r="D79" s="6"/>
    </row>
    <row r="80" spans="1:4" ht="23" customHeight="1">
      <c r="A80" s="6"/>
      <c r="B80" s="6"/>
      <c r="C80" s="6"/>
      <c r="D80" s="6"/>
    </row>
    <row r="81" spans="1:4" ht="23" customHeight="1">
      <c r="A81" s="6"/>
      <c r="B81" s="6"/>
      <c r="C81" s="6"/>
      <c r="D81" s="6"/>
    </row>
    <row r="82" spans="1:4" ht="23" customHeight="1">
      <c r="A82" s="6"/>
      <c r="B82" s="6"/>
      <c r="C82" s="6"/>
      <c r="D82" s="6"/>
    </row>
    <row r="83" spans="1:4" ht="23" customHeight="1">
      <c r="A83" s="6"/>
      <c r="B83" s="6"/>
      <c r="C83" s="6"/>
      <c r="D83" s="6"/>
    </row>
    <row r="84" spans="1:4" ht="23" customHeight="1">
      <c r="A84" s="6"/>
      <c r="B84" s="6"/>
      <c r="C84" s="6"/>
      <c r="D84" s="6"/>
    </row>
    <row r="85" spans="1:4" ht="23" customHeight="1">
      <c r="A85" s="6"/>
      <c r="B85" s="6"/>
      <c r="C85" s="6"/>
      <c r="D85" s="6"/>
    </row>
    <row r="86" spans="1:4" ht="23" customHeight="1">
      <c r="A86" s="6"/>
      <c r="B86" s="6"/>
      <c r="C86" s="6"/>
      <c r="D86" s="6"/>
    </row>
    <row r="87" spans="1:4" ht="23" customHeight="1">
      <c r="A87" s="6"/>
      <c r="B87" s="6"/>
      <c r="C87" s="6"/>
      <c r="D87" s="6"/>
    </row>
    <row r="88" spans="1:4" ht="23" customHeight="1">
      <c r="A88" s="6"/>
      <c r="B88" s="6"/>
      <c r="C88" s="6"/>
      <c r="D88" s="6"/>
    </row>
    <row r="89" spans="1:4" ht="23" customHeight="1">
      <c r="A89" s="6"/>
      <c r="B89" s="6"/>
      <c r="C89" s="6"/>
      <c r="D89" s="6"/>
    </row>
    <row r="90" spans="1:4" ht="23" customHeight="1">
      <c r="A90" s="6"/>
      <c r="B90" s="6"/>
      <c r="C90" s="6"/>
      <c r="D90" s="6"/>
    </row>
    <row r="91" spans="1:4" ht="23" customHeight="1">
      <c r="A91" s="6"/>
      <c r="B91" s="6"/>
      <c r="C91" s="6"/>
      <c r="D91" s="6"/>
    </row>
    <row r="92" spans="1:4" ht="23" customHeight="1">
      <c r="A92" s="6"/>
      <c r="B92" s="6"/>
      <c r="C92" s="6"/>
      <c r="D92" s="6"/>
    </row>
    <row r="93" spans="1:4" ht="23" customHeight="1">
      <c r="A93" s="6"/>
      <c r="B93" s="6"/>
      <c r="C93" s="6"/>
      <c r="D93" s="6"/>
    </row>
    <row r="94" spans="1:4" ht="23" customHeight="1">
      <c r="A94" s="6"/>
      <c r="B94" s="6"/>
      <c r="C94" s="6"/>
      <c r="D94" s="6"/>
    </row>
    <row r="95" spans="1:4" ht="23" customHeight="1">
      <c r="A95" s="6"/>
      <c r="B95" s="6"/>
      <c r="C95" s="6"/>
      <c r="D95" s="6"/>
    </row>
    <row r="96" spans="1:4" ht="23" customHeight="1">
      <c r="A96" s="6"/>
      <c r="B96" s="6"/>
      <c r="C96" s="6"/>
      <c r="D96" s="6"/>
    </row>
    <row r="97" spans="1:4" ht="23" customHeight="1">
      <c r="A97" s="6"/>
      <c r="B97" s="6"/>
      <c r="C97" s="6"/>
      <c r="D97" s="6"/>
    </row>
    <row r="98" spans="1:4" ht="23" customHeight="1">
      <c r="A98" s="6"/>
      <c r="B98" s="6"/>
      <c r="C98" s="6"/>
      <c r="D98" s="6"/>
    </row>
    <row r="99" spans="1:4" ht="23" customHeight="1">
      <c r="A99" s="6"/>
      <c r="B99" s="6"/>
      <c r="C99" s="6"/>
      <c r="D99" s="6"/>
    </row>
    <row r="100" spans="1:4" ht="23" customHeight="1">
      <c r="A100" s="6"/>
      <c r="B100" s="6"/>
      <c r="C100" s="6"/>
      <c r="D100" s="6"/>
    </row>
    <row r="101" spans="1:4" ht="23" customHeight="1">
      <c r="A101" s="6"/>
      <c r="B101" s="6"/>
      <c r="C101" s="6"/>
      <c r="D101" s="6"/>
    </row>
    <row r="102" spans="1:4" ht="23" customHeight="1">
      <c r="A102" s="6"/>
      <c r="B102" s="6"/>
      <c r="C102" s="6"/>
      <c r="D102" s="6"/>
    </row>
    <row r="103" spans="1:4" ht="23" customHeight="1">
      <c r="A103" s="6"/>
      <c r="B103" s="6"/>
      <c r="C103" s="6"/>
      <c r="D103" s="6"/>
    </row>
    <row r="104" spans="1:4" ht="23" customHeight="1">
      <c r="A104" s="6"/>
      <c r="B104" s="6"/>
      <c r="C104" s="6"/>
      <c r="D104" s="6"/>
    </row>
    <row r="105" spans="1:4" ht="23" customHeight="1">
      <c r="A105" s="6"/>
      <c r="B105" s="6"/>
      <c r="C105" s="6"/>
      <c r="D105" s="6"/>
    </row>
    <row r="106" spans="1:4" ht="23" customHeight="1">
      <c r="A106" s="6"/>
      <c r="B106" s="6"/>
      <c r="C106" s="6"/>
      <c r="D106" s="6"/>
    </row>
    <row r="107" spans="1:4" ht="23" customHeight="1">
      <c r="A107" s="6"/>
      <c r="B107" s="6"/>
      <c r="C107" s="6"/>
      <c r="D107" s="6"/>
    </row>
    <row r="108" spans="1:4" ht="23" customHeight="1">
      <c r="A108" s="6"/>
      <c r="B108" s="6"/>
      <c r="C108" s="6"/>
      <c r="D108" s="6"/>
    </row>
    <row r="109" spans="1:4" ht="23" customHeight="1">
      <c r="A109" s="6"/>
      <c r="B109" s="6"/>
      <c r="C109" s="6"/>
      <c r="D109" s="6"/>
    </row>
    <row r="110" spans="1:4" ht="23" customHeight="1">
      <c r="A110" s="6"/>
      <c r="B110" s="6"/>
      <c r="C110" s="6"/>
      <c r="D110" s="6"/>
    </row>
    <row r="111" spans="1:4" ht="23" customHeight="1">
      <c r="A111" s="6"/>
      <c r="B111" s="6"/>
      <c r="C111" s="6"/>
      <c r="D111" s="6"/>
    </row>
    <row r="112" spans="1:4" ht="23" customHeight="1">
      <c r="A112" s="6"/>
      <c r="B112" s="6"/>
      <c r="C112" s="6"/>
      <c r="D112" s="6"/>
    </row>
    <row r="113" spans="1:4" ht="23" customHeight="1">
      <c r="A113" s="6"/>
      <c r="B113" s="6"/>
      <c r="C113" s="6"/>
      <c r="D113" s="6"/>
    </row>
    <row r="114" spans="1:4" ht="23" customHeight="1">
      <c r="A114" s="6"/>
      <c r="B114" s="6"/>
      <c r="C114" s="6"/>
      <c r="D114" s="6"/>
    </row>
    <row r="115" spans="1:4" ht="23" customHeight="1">
      <c r="A115" s="6"/>
      <c r="B115" s="6"/>
      <c r="C115" s="6"/>
      <c r="D115" s="6"/>
    </row>
    <row r="116" spans="1:4" ht="23" customHeight="1">
      <c r="A116" s="6"/>
      <c r="B116" s="6"/>
      <c r="C116" s="6"/>
      <c r="D116" s="6"/>
    </row>
    <row r="117" spans="1:4" ht="23" customHeight="1">
      <c r="A117" s="6"/>
      <c r="B117" s="6"/>
      <c r="C117" s="6"/>
      <c r="D117" s="6"/>
    </row>
    <row r="118" spans="1:4" ht="23" customHeight="1">
      <c r="A118" s="6"/>
      <c r="B118" s="6"/>
      <c r="C118" s="6"/>
      <c r="D118" s="6"/>
    </row>
    <row r="119" spans="1:4" ht="23" customHeight="1">
      <c r="A119" s="6"/>
      <c r="B119" s="6"/>
      <c r="C119" s="6"/>
      <c r="D119" s="6"/>
    </row>
    <row r="120" spans="1:4" ht="23" customHeight="1">
      <c r="A120" s="6"/>
      <c r="B120" s="6"/>
      <c r="C120" s="6"/>
      <c r="D120" s="6"/>
    </row>
  </sheetData>
  <mergeCells count="8">
    <mergeCell ref="U1:X1"/>
    <mergeCell ref="U2:X2"/>
    <mergeCell ref="A1:D1"/>
    <mergeCell ref="A2:D2"/>
    <mergeCell ref="K1:N1"/>
    <mergeCell ref="K2:N2"/>
    <mergeCell ref="P1:S1"/>
    <mergeCell ref="P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0"/>
  <sheetViews>
    <sheetView showGridLines="0" workbookViewId="0"/>
  </sheetViews>
  <sheetFormatPr baseColWidth="10" defaultColWidth="8.83203125" defaultRowHeight="14"/>
  <cols>
    <col min="1" max="1" width="50" customWidth="1"/>
    <col min="2" max="2" width="17" customWidth="1"/>
    <col min="3" max="3" width="52" customWidth="1"/>
    <col min="4" max="4" width="60" customWidth="1"/>
  </cols>
  <sheetData>
    <row r="1" spans="1:4" ht="31" customHeight="1">
      <c r="A1" s="32" t="str">
        <f>'Balance Sheet'!U$1</f>
        <v>Repsol Cash Flow Statement - Indirect Method</v>
      </c>
      <c r="B1" s="42"/>
      <c r="C1" s="43"/>
      <c r="D1" s="43"/>
    </row>
    <row r="2" spans="1:4" ht="32" customHeight="1">
      <c r="A2" s="35" t="str">
        <f>'Balance Sheet'!U$2</f>
        <v>Reconstructed from P&amp;L, balance sheet, equity roll-forward and selected source notes; the published cash flow statement was not used.</v>
      </c>
      <c r="B2" s="34"/>
      <c r="C2" s="34"/>
      <c r="D2" s="34"/>
    </row>
    <row r="3" spans="1:4" ht="23" customHeight="1">
      <c r="A3" s="6"/>
      <c r="B3" s="6"/>
      <c r="C3" s="6"/>
      <c r="D3" s="6"/>
    </row>
    <row r="4" spans="1:4" ht="23" customHeight="1">
      <c r="A4" s="7" t="str">
        <f>'Balance Sheet'!U$4</f>
        <v>Line item</v>
      </c>
      <c r="B4" s="8" t="str">
        <f>'Balance Sheet'!V$4</f>
        <v>2025</v>
      </c>
      <c r="C4" s="8" t="str">
        <f>'Balance Sheet'!W$4</f>
        <v>Formula / source logic</v>
      </c>
      <c r="D4" s="8" t="str">
        <f>'Balance Sheet'!X$4</f>
        <v>Technical note</v>
      </c>
    </row>
    <row r="5" spans="1:4" ht="23" customHeight="1">
      <c r="A5" s="9" t="str">
        <f>IF('Balance Sheet'!U$5="","",'Balance Sheet'!U$5)</f>
        <v>Beginning cash and cash equivalents</v>
      </c>
      <c r="B5" s="10">
        <f>SUMIF('Balance Sheet'!$A$1:$A$90,"Cash and cash equivalents",'Balance Sheet'!$C$1:$C$90)</f>
        <v>4758000</v>
      </c>
      <c r="C5" s="11" t="str">
        <f>IF('Balance Sheet'!W$5="","",'Balance Sheet'!W$5)</f>
        <v>Prior-year balance sheet cash</v>
      </c>
      <c r="D5" s="11" t="str">
        <f>IF('Balance Sheet'!X$5="","",'Balance Sheet'!X$5)</f>
        <v/>
      </c>
    </row>
    <row r="6" spans="1:4" ht="23" customHeight="1">
      <c r="A6" s="19" t="str">
        <f>IF('Balance Sheet'!U$6="","",'Balance Sheet'!U$6)</f>
        <v>Cash flow from operating activities - indirect method</v>
      </c>
      <c r="B6" s="20" t="str">
        <f>IF('Balance Sheet'!V$6="","",'Balance Sheet'!V$6)</f>
        <v/>
      </c>
      <c r="C6" s="21" t="str">
        <f>IF('Balance Sheet'!W$6="","",'Balance Sheet'!W$6)</f>
        <v/>
      </c>
      <c r="D6" s="21" t="str">
        <f>IF('Balance Sheet'!X$6="","",'Balance Sheet'!X$6)</f>
        <v/>
      </c>
    </row>
    <row r="7" spans="1:4" ht="23" customHeight="1">
      <c r="A7" s="9" t="str">
        <f>IF('Balance Sheet'!U$7="","",'Balance Sheet'!U$7)</f>
        <v>Consolidated net income</v>
      </c>
      <c r="B7" s="10">
        <f>SUMIF('P&amp;L'!$A$1:$A$80,"CONSOLIDATED NET INCOME / (LOSS) FOR THE PERIOD",'P&amp;L'!$B$1:$B$80)</f>
        <v>2100000</v>
      </c>
      <c r="C7" s="11" t="str">
        <f>IF('Balance Sheet'!W$7="","",'Balance Sheet'!W$7)</f>
        <v>Starts from net income, per user request</v>
      </c>
      <c r="D7" s="11" t="str">
        <f>IF('Balance Sheet'!X$7="","",'Balance Sheet'!X$7)</f>
        <v/>
      </c>
    </row>
    <row r="8" spans="1:4" ht="23" customHeight="1">
      <c r="A8" s="9" t="str">
        <f>IF('Balance Sheet'!U$8="","",'Balance Sheet'!U$8)</f>
        <v>Add back: amortization and depreciation</v>
      </c>
      <c r="B8" s="10">
        <f>-SUMIF('P&amp;L'!$A$1:$A$80,"Amortization and depreciation of non-current assets",'P&amp;L'!$B$1:$B$80)</f>
        <v>2439000</v>
      </c>
      <c r="C8" s="11" t="str">
        <f>IF('Balance Sheet'!W$8="","",'Balance Sheet'!W$8)</f>
        <v>Reverse non-cash D&amp;A expense</v>
      </c>
      <c r="D8" s="11" t="str">
        <f>IF('Balance Sheet'!X$8="","",'Balance Sheet'!X$8)</f>
        <v/>
      </c>
    </row>
    <row r="9" spans="1:4" ht="23" customHeight="1">
      <c r="A9" s="9" t="str">
        <f>IF('Balance Sheet'!U$9="","",'Balance Sheet'!U$9)</f>
        <v>Adjust: impairment charge/(reversal)</v>
      </c>
      <c r="B9" s="10">
        <f>-SUMIF('P&amp;L'!$A$1:$A$80,"(Charges for)/Reversal of impairment",'P&amp;L'!$B$1:$B$80)</f>
        <v>-1000</v>
      </c>
      <c r="C9" s="11" t="str">
        <f>IF('Balance Sheet'!W$9="","",'Balance Sheet'!W$9)</f>
        <v>Reverse P&amp;L impairment charge/reversal line</v>
      </c>
      <c r="D9" s="11" t="str">
        <f>IF('Balance Sheet'!X$9="","",'Balance Sheet'!X$9)</f>
        <v/>
      </c>
    </row>
    <row r="10" spans="1:4" ht="23" customHeight="1">
      <c r="A10" s="9" t="str">
        <f>IF('Balance Sheet'!U$10="","",'Balance Sheet'!U$10)</f>
        <v>Adjust: equity method income</v>
      </c>
      <c r="B10" s="10">
        <f>-SUMIF('P&amp;L'!$A$1:$A$80,"Net income from investments accounted for using the equity method",'P&amp;L'!$B$1:$B$80)</f>
        <v>-53000</v>
      </c>
      <c r="C10" s="11" t="str">
        <f>IF('Balance Sheet'!W$10="","",'Balance Sheet'!W$10)</f>
        <v>Remove equity-accounted income before dividends/cash movements</v>
      </c>
      <c r="D10" s="11" t="str">
        <f>IF('Balance Sheet'!X$10="","",'Balance Sheet'!X$10)</f>
        <v/>
      </c>
    </row>
    <row r="11" spans="1:4" ht="23" customHeight="1">
      <c r="A11" s="9" t="str">
        <f>IF('Balance Sheet'!U$11="","",'Balance Sheet'!U$11)</f>
        <v>Adjust: fair value of financial instruments</v>
      </c>
      <c r="B11" s="10">
        <f>-SUMIF('P&amp;L'!$A$1:$A$80,"Change in fair value of financial instruments",'P&amp;L'!$B$1:$B$80)</f>
        <v>298000</v>
      </c>
      <c r="C11" s="11" t="str">
        <f>IF('Balance Sheet'!W$11="","",'Balance Sheet'!W$11)</f>
        <v>Reverse mark-to-market P&amp;L movement</v>
      </c>
      <c r="D11" s="11" t="str">
        <f>IF('Balance Sheet'!X$11="","",'Balance Sheet'!X$11)</f>
        <v/>
      </c>
    </row>
    <row r="12" spans="1:4" ht="23" customHeight="1">
      <c r="A12" s="9" t="str">
        <f>IF('Balance Sheet'!U$12="","",'Balance Sheet'!U$12)</f>
        <v>Adjust: exchange gains/(losses)</v>
      </c>
      <c r="B12" s="10">
        <f>-SUMIF('P&amp;L'!$A$1:$A$80,"Exchange gains/(losses)",'P&amp;L'!$B$1:$B$80)</f>
        <v>-468000</v>
      </c>
      <c r="C12" s="11" t="str">
        <f>IF('Balance Sheet'!W$12="","",'Balance Sheet'!W$12)</f>
        <v>Reverse P&amp;L FX gain/loss where cash effect is not separately observable</v>
      </c>
      <c r="D12" s="11" t="str">
        <f>IF('Balance Sheet'!X$12="","",'Balance Sheet'!X$12)</f>
        <v/>
      </c>
    </row>
    <row r="13" spans="1:4" ht="23" customHeight="1">
      <c r="A13" s="9" t="str">
        <f>IF('Balance Sheet'!U$13="","",'Balance Sheet'!U$13)</f>
        <v>Adjust: gains/(losses) on disposal and derecognition</v>
      </c>
      <c r="B13" s="10">
        <f>-SUMIF('P&amp;L'!$A$1:$A$80,"Gains/(Losses) on disposal and derecognition of assets",'P&amp;L'!$B$1:$B$80)</f>
        <v>-14000</v>
      </c>
      <c r="C13" s="11" t="str">
        <f>IF('Balance Sheet'!W$13="","",'Balance Sheet'!W$13)</f>
        <v>Remove disposal result from operating cash flow</v>
      </c>
      <c r="D13" s="11" t="str">
        <f>IF('Balance Sheet'!X$13="","",'Balance Sheet'!X$13)</f>
        <v/>
      </c>
    </row>
    <row r="14" spans="1:4" ht="23" customHeight="1">
      <c r="A14" s="9" t="str">
        <f>IF('Balance Sheet'!U$14="","",'Balance Sheet'!U$14)</f>
        <v>Adjust: impairment of financial instruments</v>
      </c>
      <c r="B14" s="10">
        <f>-SUMIF('P&amp;L'!$A$1:$A$80,"(Provision for)/Reversal of impairment of financial instruments",'P&amp;L'!$B$1:$B$80)</f>
        <v>-25000</v>
      </c>
      <c r="C14" s="11" t="str">
        <f>IF('Balance Sheet'!W$14="","",'Balance Sheet'!W$14)</f>
        <v>Reverse expected-credit-loss/provision line</v>
      </c>
      <c r="D14" s="11" t="str">
        <f>IF('Balance Sheet'!X$14="","",'Balance Sheet'!X$14)</f>
        <v/>
      </c>
    </row>
    <row r="15" spans="1:4" ht="23" customHeight="1">
      <c r="A15" s="9" t="str">
        <f>IF('Balance Sheet'!U$15="","",'Balance Sheet'!U$15)</f>
        <v>Decrease/(increase) in inventories</v>
      </c>
      <c r="B15" s="10">
        <f>SUMIF('Balance Sheet'!$A$1:$A$90,"Inventories",'Balance Sheet'!$C$1:$C$90)-SUMIF('Balance Sheet'!$A$1:$A$90,"Inventories",'Balance Sheet'!$B$1:$B$90)</f>
        <v>736000</v>
      </c>
      <c r="C15" s="11" t="str">
        <f>IF('Balance Sheet'!W$15="","",'Balance Sheet'!W$15)</f>
        <v>Prior balance - current balance</v>
      </c>
      <c r="D15" s="11" t="str">
        <f>IF('Balance Sheet'!X$15="","",'Balance Sheet'!X$15)</f>
        <v/>
      </c>
    </row>
    <row r="16" spans="1:4" ht="23" customHeight="1">
      <c r="A16" s="9" t="str">
        <f>IF('Balance Sheet'!U$16="","",'Balance Sheet'!U$16)</f>
        <v>Decrease/(increase) in trade and other receivables</v>
      </c>
      <c r="B16" s="10">
        <f>SUMIF('Balance Sheet'!$A$1:$A$90,"Trade and other receivables",'Balance Sheet'!$C$1:$C$90)-SUMIF('Balance Sheet'!$A$1:$A$90,"Trade and other receivables",'Balance Sheet'!$B$1:$B$90)</f>
        <v>807000</v>
      </c>
      <c r="C16" s="11" t="str">
        <f>IF('Balance Sheet'!W$16="","",'Balance Sheet'!W$16)</f>
        <v>Prior balance - current balance</v>
      </c>
      <c r="D16" s="11" t="str">
        <f>IF('Balance Sheet'!X$16="","",'Balance Sheet'!X$16)</f>
        <v/>
      </c>
    </row>
    <row r="17" spans="1:4" ht="23" customHeight="1">
      <c r="A17" s="9" t="str">
        <f>IF('Balance Sheet'!U$17="","",'Balance Sheet'!U$17)</f>
        <v>Decrease/(increase) in other current assets</v>
      </c>
      <c r="B17" s="10">
        <f>SUMIF('Balance Sheet'!$A$1:$A$90,"Other current assets",'Balance Sheet'!$C$1:$C$90)-SUMIF('Balance Sheet'!$A$1:$A$90,"Other current assets",'Balance Sheet'!$B$1:$B$90)</f>
        <v>161000</v>
      </c>
      <c r="C17" s="11" t="str">
        <f>IF('Balance Sheet'!W$17="","",'Balance Sheet'!W$17)</f>
        <v>Prior balance - current balance</v>
      </c>
      <c r="D17" s="11" t="str">
        <f>IF('Balance Sheet'!X$17="","",'Balance Sheet'!X$17)</f>
        <v/>
      </c>
    </row>
    <row r="18" spans="1:4" ht="23" customHeight="1">
      <c r="A18" s="9" t="str">
        <f>IF('Balance Sheet'!U$18="","",'Balance Sheet'!U$18)</f>
        <v>Increase/(decrease) in trade and other payables</v>
      </c>
      <c r="B18" s="10">
        <f>SUMIF('Balance Sheet'!$A$1:$A$90,"Trade and other payables",'Balance Sheet'!$B$1:$B$90)-SUMIF('Balance Sheet'!$A$1:$A$90,"Trade and other payables",'Balance Sheet'!$C$1:$C$90)</f>
        <v>-1001000</v>
      </c>
      <c r="C18" s="11" t="str">
        <f>IF('Balance Sheet'!W$18="","",'Balance Sheet'!W$18)</f>
        <v>Current balance - prior balance</v>
      </c>
      <c r="D18" s="11" t="str">
        <f>IF('Balance Sheet'!X$18="","",'Balance Sheet'!X$18)</f>
        <v/>
      </c>
    </row>
    <row r="19" spans="1:4" ht="23" customHeight="1">
      <c r="A19" s="9" t="str">
        <f>IF('Balance Sheet'!U$19="","",'Balance Sheet'!U$19)</f>
        <v>Less: dividend payable accrued in trade payables</v>
      </c>
      <c r="B19" s="10">
        <f>-SUMIF('Balance Sheet'!$K$1:$K$120,"Dividend payable accrued, not paid",'Balance Sheet'!$L$1:$L$120)</f>
        <v>-552000</v>
      </c>
      <c r="C19" s="11" t="str">
        <f>IF('Balance Sheet'!W$19="","",'Balance Sheet'!W$19)</f>
        <v>Reclass non-operating payable out of operating working capital</v>
      </c>
      <c r="D19" s="11" t="str">
        <f>IF('Balance Sheet'!X$19="","",'Balance Sheet'!X$19)</f>
        <v/>
      </c>
    </row>
    <row r="20" spans="1:4" ht="23" customHeight="1">
      <c r="A20" s="9" t="str">
        <f>IF('Balance Sheet'!U$20="","",'Balance Sheet'!U$20)</f>
        <v>Increase/(decrease) in provisions</v>
      </c>
      <c r="B20" s="10">
        <f>(SUMIF('Balance Sheet'!$A$1:$A$90,"Current provisions",'Balance Sheet'!$B$1:$B$90)+SUMIF('Balance Sheet'!$A$1:$A$90,"Non-current provisions",'Balance Sheet'!$B$1:$B$90))-(SUMIF('Balance Sheet'!$A$1:$A$90,"Current provisions",'Balance Sheet'!$C$1:$C$90)+SUMIF('Balance Sheet'!$A$1:$A$90,"Non-current provisions",'Balance Sheet'!$C$1:$C$90))</f>
        <v>-2472000</v>
      </c>
      <c r="C20" s="11" t="str">
        <f>IF('Balance Sheet'!W$20="","",'Balance Sheet'!W$20)</f>
        <v>Current plus non-current provisions movement</v>
      </c>
      <c r="D20" s="11" t="str">
        <f>IF('Balance Sheet'!X$20="","",'Balance Sheet'!X$20)</f>
        <v>Kept as a balance-sheet movement because related scope/FX offsets are not fully allocable without the published cash flow statement.</v>
      </c>
    </row>
    <row r="21" spans="1:4" ht="42" customHeight="1">
      <c r="A21" s="9" t="str">
        <f>IF('Balance Sheet'!U$21="","",'Balance Sheet'!U$21)</f>
        <v>Deferred tax balance movement</v>
      </c>
      <c r="B21" s="10">
        <f>(SUMIF('Balance Sheet'!$A$1:$A$90,"Deferred tax liabilities and other tax items",'Balance Sheet'!$B$1:$B$90)-SUMIF('Balance Sheet'!$A$1:$A$90,"Deferred tax assets",'Balance Sheet'!$B$1:$B$90))-(SUMIF('Balance Sheet'!$A$1:$A$90,"Deferred tax liabilities and other tax items",'Balance Sheet'!$C$1:$C$90)-SUMIF('Balance Sheet'!$A$1:$A$90,"Deferred tax assets",'Balance Sheet'!$C$1:$C$90))</f>
        <v>798000</v>
      </c>
      <c r="C21" s="11" t="str">
        <f>IF('Balance Sheet'!W$21="","",'Balance Sheet'!W$21)</f>
        <v>Change in net deferred tax liability/(asset)</v>
      </c>
      <c r="D21" s="11" t="str">
        <f>IF('Balance Sheet'!X$21="","",'Balance Sheet'!X$21)</f>
        <v>Included as an observable balance-sheet movement; OCI/FX/current tax split is not available.</v>
      </c>
    </row>
    <row r="22" spans="1:4" ht="23" customHeight="1">
      <c r="A22" s="12" t="str">
        <f>IF('Balance Sheet'!U$22="","",'Balance Sheet'!U$22)</f>
        <v>Operating cash flow - indirect observable subtotal</v>
      </c>
      <c r="B22" s="13">
        <f>SUM(B7:B21)</f>
        <v>2753000</v>
      </c>
      <c r="C22" s="14" t="str">
        <f>IF('Balance Sheet'!W$22="","",'Balance Sheet'!W$22)</f>
        <v/>
      </c>
      <c r="D22" s="14" t="str">
        <f>IF('Balance Sheet'!X$22="","",'Balance Sheet'!X$22)</f>
        <v/>
      </c>
    </row>
    <row r="23" spans="1:4" ht="23" customHeight="1">
      <c r="A23" s="19" t="str">
        <f>IF('Balance Sheet'!U$23="","",'Balance Sheet'!U$23)</f>
        <v>Cash flow from investing activities</v>
      </c>
      <c r="B23" s="20" t="str">
        <f>IF('Balance Sheet'!V$23="","",'Balance Sheet'!V$23)</f>
        <v/>
      </c>
      <c r="C23" s="21" t="str">
        <f>IF('Balance Sheet'!W$23="","",'Balance Sheet'!W$23)</f>
        <v/>
      </c>
      <c r="D23" s="21" t="str">
        <f>IF('Balance Sheet'!X$23="","",'Balance Sheet'!X$23)</f>
        <v/>
      </c>
    </row>
    <row r="24" spans="1:4" ht="23" customHeight="1">
      <c r="A24" s="9" t="str">
        <f>IF('Balance Sheet'!U$24="","",'Balance Sheet'!U$24)</f>
        <v>Investing cash flow - observable subtotal</v>
      </c>
      <c r="B24" s="10">
        <f>'Direct CF'!B23</f>
        <v>-4791000</v>
      </c>
      <c r="C24" s="11" t="str">
        <f>IF('Balance Sheet'!W$24="","",'Balance Sheet'!W$24)</f>
        <v>Same observable investing reconstruction as direct method</v>
      </c>
      <c r="D24" s="11" t="str">
        <f>IF('Balance Sheet'!X$24="","",'Balance Sheet'!X$24)</f>
        <v/>
      </c>
    </row>
    <row r="25" spans="1:4" ht="23" customHeight="1">
      <c r="A25" s="19" t="str">
        <f>IF('Balance Sheet'!U$25="","",'Balance Sheet'!U$25)</f>
        <v>Cash flow from financing activities</v>
      </c>
      <c r="B25" s="20" t="str">
        <f>IF('Balance Sheet'!V$25="","",'Balance Sheet'!V$25)</f>
        <v/>
      </c>
      <c r="C25" s="21" t="str">
        <f>IF('Balance Sheet'!W$25="","",'Balance Sheet'!W$25)</f>
        <v/>
      </c>
      <c r="D25" s="21" t="str">
        <f>IF('Balance Sheet'!X$25="","",'Balance Sheet'!X$25)</f>
        <v/>
      </c>
    </row>
    <row r="26" spans="1:4" ht="23" customHeight="1">
      <c r="A26" s="9" t="str">
        <f>IF('Balance Sheet'!U$26="","",'Balance Sheet'!U$26)</f>
        <v>Financing cash flow - observable subtotal</v>
      </c>
      <c r="B26" s="10">
        <f>'Direct CF'!B32</f>
        <v>547000</v>
      </c>
      <c r="C26" s="11" t="str">
        <f>IF('Balance Sheet'!W$26="","",'Balance Sheet'!W$26)</f>
        <v>Same observable financing reconstruction as direct method</v>
      </c>
      <c r="D26" s="11" t="str">
        <f>IF('Balance Sheet'!X$26="","",'Balance Sheet'!X$26)</f>
        <v/>
      </c>
    </row>
    <row r="27" spans="1:4" ht="23" customHeight="1">
      <c r="A27" s="12" t="str">
        <f>IF('Balance Sheet'!U$27="","",'Balance Sheet'!U$27)</f>
        <v>Subtotal - independently sourced items (I + II + III)</v>
      </c>
      <c r="B27" s="13">
        <f>B22+B24+B26</f>
        <v>-1491000</v>
      </c>
      <c r="C27" s="14" t="str">
        <f>IF('Balance Sheet'!W$27="","",'Balance Sheet'!W$27)</f>
        <v/>
      </c>
      <c r="D27" s="14" t="str">
        <f>IF('Balance Sheet'!X$27="","",'Balance Sheet'!X$27)</f>
        <v>Subtotal before the explicit balance-sheet reconciliation line.</v>
      </c>
    </row>
    <row r="28" spans="1:4" ht="42" customHeight="1">
      <c r="A28" s="19" t="str">
        <f>IF('Balance Sheet'!U$28="","",'Balance Sheet'!U$28)</f>
        <v>Reconciliation to actual cash movement</v>
      </c>
      <c r="B28" s="20" t="str">
        <f>IF('Balance Sheet'!V$28="","",'Balance Sheet'!V$28)</f>
        <v/>
      </c>
      <c r="C28" s="21" t="str">
        <f>IF('Balance Sheet'!W$28="","",'Balance Sheet'!W$28)</f>
        <v/>
      </c>
      <c r="D28" s="21" t="str">
        <f>IF('Balance Sheet'!X$28="","",'Balance Sheet'!X$28)</f>
        <v/>
      </c>
    </row>
    <row r="29" spans="1:4" ht="42" customHeight="1">
      <c r="A29" s="12" t="str">
        <f>IF('Balance Sheet'!U$29="","",'Balance Sheet'!U$29)</f>
        <v>Actual net increase/(decrease) in cash and cash equivalents (per Balance Sheet)</v>
      </c>
      <c r="B29" s="13">
        <f>SUMIF('Balance Sheet'!$A$1:$A$90,"Cash and cash equivalents",'Balance Sheet'!$B$1:$B$90)-SUMIF('Balance Sheet'!$A$1:$A$90,"Cash and cash equivalents",'Balance Sheet'!$C$1:$C$90)</f>
        <v>-1497000</v>
      </c>
      <c r="C29" s="14" t="str">
        <f>IF('Balance Sheet'!W$29="","",'Balance Sheet'!W$29)</f>
        <v>Current-year cash less prior-year cash from the balance sheet</v>
      </c>
      <c r="D29" s="14" t="str">
        <f>IF('Balance Sheet'!X$29="","",'Balance Sheet'!X$29)</f>
        <v/>
      </c>
    </row>
    <row r="30" spans="1:4" ht="42" customHeight="1">
      <c r="A30" s="23" t="str">
        <f>IF('Balance Sheet'!U$30="","",'Balance Sheet'!U$30)</f>
        <v>Unreconciled / non-cash and other unallocated items</v>
      </c>
      <c r="B30" s="24">
        <f>B29-B27</f>
        <v>-6000</v>
      </c>
      <c r="C30" s="25" t="str">
        <f>IF('Balance Sheet'!W$30="","",'Balance Sheet'!W$30)</f>
        <v>Actual balance-sheet cash movement less independently sourced subtotal</v>
      </c>
      <c r="D30" s="25" t="str">
        <f>IF('Balance Sheet'!X$30="","",'Balance Sheet'!X$30)</f>
        <v>Visible reconciliation line, not an operating/investing/financing plug.</v>
      </c>
    </row>
    <row r="31" spans="1:4" ht="42" customHeight="1">
      <c r="A31" s="26" t="str">
        <f>IF('Balance Sheet'!U$31="","",'Balance Sheet'!U$31)</f>
        <v>Net increase/(decrease) in cash and cash equivalents (= actual, by construction)</v>
      </c>
      <c r="B31" s="31">
        <f>B27+B30</f>
        <v>-1497000</v>
      </c>
      <c r="C31" s="27" t="str">
        <f>IF('Balance Sheet'!W$31="","",'Balance Sheet'!W$31)</f>
        <v>Subtotal plus visible reconciliation line</v>
      </c>
      <c r="D31" s="27" t="str">
        <f>IF('Balance Sheet'!X$31="","",'Balance Sheet'!X$31)</f>
        <v/>
      </c>
    </row>
    <row r="32" spans="1:4" ht="42" customHeight="1">
      <c r="A32" s="12" t="str">
        <f>IF('Balance Sheet'!U$32="","",'Balance Sheet'!U$32)</f>
        <v>Cash and cash equivalents at beginning of period</v>
      </c>
      <c r="B32" s="13">
        <f>B5</f>
        <v>4758000</v>
      </c>
      <c r="C32" s="14" t="str">
        <f>IF('Balance Sheet'!W$32="","",'Balance Sheet'!W$32)</f>
        <v/>
      </c>
      <c r="D32" s="14" t="str">
        <f>IF('Balance Sheet'!X$32="","",'Balance Sheet'!X$32)</f>
        <v/>
      </c>
    </row>
    <row r="33" spans="1:4" ht="42" customHeight="1">
      <c r="A33" s="12" t="str">
        <f>IF('Balance Sheet'!U$33="","",'Balance Sheet'!U$33)</f>
        <v>Cash and cash equivalents at end of period</v>
      </c>
      <c r="B33" s="13">
        <f>B32+B31</f>
        <v>3261000</v>
      </c>
      <c r="C33" s="14" t="str">
        <f>IF('Balance Sheet'!W$33="","",'Balance Sheet'!W$33)</f>
        <v>Reconciles to balance sheet cash by construction</v>
      </c>
      <c r="D33" s="14" t="str">
        <f>IF('Balance Sheet'!X$33="","",'Balance Sheet'!X$33)</f>
        <v/>
      </c>
    </row>
    <row r="34" spans="1:4" ht="42" customHeight="1">
      <c r="A34" s="28" t="str">
        <f>IF('Balance Sheet'!U$34="","",'Balance Sheet'!U$34)</f>
        <v>Check: ending cash per statement above vs. balance sheet</v>
      </c>
      <c r="B34" s="29">
        <f>B33-SUMIF('Balance Sheet'!$A$1:$A$90,"Cash and cash equivalents",'Balance Sheet'!$B$1:$B$90)</f>
        <v>0</v>
      </c>
      <c r="C34" s="30" t="str">
        <f>IF('Balance Sheet'!W$34="","",'Balance Sheet'!W$34)</f>
        <v/>
      </c>
      <c r="D34" s="30" t="str">
        <f>IF('Balance Sheet'!X$34="","",'Balance Sheet'!X$34)</f>
        <v>Must be zero after the explicit reconciliation line.</v>
      </c>
    </row>
    <row r="35" spans="1:4" ht="23" customHeight="1">
      <c r="A35" s="6"/>
      <c r="B35" s="6"/>
      <c r="C35" s="6"/>
      <c r="D35" s="6"/>
    </row>
    <row r="36" spans="1:4" ht="23" customHeight="1">
      <c r="A36" s="6"/>
      <c r="B36" s="6"/>
      <c r="C36" s="6"/>
      <c r="D36" s="6"/>
    </row>
    <row r="37" spans="1:4" ht="23" customHeight="1">
      <c r="A37" s="6"/>
      <c r="B37" s="6"/>
      <c r="C37" s="6"/>
      <c r="D37" s="6"/>
    </row>
    <row r="38" spans="1:4" ht="23" customHeight="1">
      <c r="A38" s="6"/>
      <c r="B38" s="6"/>
      <c r="C38" s="6"/>
      <c r="D38" s="6"/>
    </row>
    <row r="39" spans="1:4" ht="23" customHeight="1">
      <c r="A39" s="6"/>
      <c r="B39" s="6"/>
      <c r="C39" s="6"/>
      <c r="D39" s="6"/>
    </row>
    <row r="40" spans="1:4" ht="23" customHeight="1">
      <c r="A40" s="6"/>
      <c r="B40" s="6"/>
      <c r="C40" s="6"/>
      <c r="D40" s="6"/>
    </row>
    <row r="41" spans="1:4" ht="23" customHeight="1">
      <c r="A41" s="6"/>
      <c r="B41" s="6"/>
      <c r="C41" s="6"/>
      <c r="D41" s="6"/>
    </row>
    <row r="42" spans="1:4" ht="23" customHeight="1">
      <c r="A42" s="6"/>
      <c r="B42" s="6"/>
      <c r="C42" s="6"/>
      <c r="D42" s="6"/>
    </row>
    <row r="43" spans="1:4" ht="23" customHeight="1">
      <c r="A43" s="6"/>
      <c r="B43" s="6"/>
      <c r="C43" s="6"/>
      <c r="D43" s="6"/>
    </row>
    <row r="44" spans="1:4" ht="23" customHeight="1">
      <c r="A44" s="6"/>
      <c r="B44" s="6"/>
      <c r="C44" s="6"/>
      <c r="D44" s="6"/>
    </row>
    <row r="45" spans="1:4" ht="23" customHeight="1">
      <c r="A45" s="6"/>
      <c r="B45" s="6"/>
      <c r="C45" s="6"/>
      <c r="D45" s="6"/>
    </row>
    <row r="46" spans="1:4" ht="23" customHeight="1">
      <c r="A46" s="6"/>
      <c r="B46" s="6"/>
      <c r="C46" s="6"/>
      <c r="D46" s="6"/>
    </row>
    <row r="47" spans="1:4" ht="23" customHeight="1">
      <c r="A47" s="6"/>
      <c r="B47" s="6"/>
      <c r="C47" s="6"/>
      <c r="D47" s="6"/>
    </row>
    <row r="48" spans="1:4" ht="23" customHeight="1">
      <c r="A48" s="6"/>
      <c r="B48" s="6"/>
      <c r="C48" s="6"/>
      <c r="D48" s="6"/>
    </row>
    <row r="49" spans="1:4" ht="23" customHeight="1">
      <c r="A49" s="6"/>
      <c r="B49" s="6"/>
      <c r="C49" s="6"/>
      <c r="D49" s="6"/>
    </row>
    <row r="50" spans="1:4" ht="23" customHeight="1">
      <c r="A50" s="6"/>
      <c r="B50" s="6"/>
      <c r="C50" s="6"/>
      <c r="D50" s="6"/>
    </row>
    <row r="51" spans="1:4" ht="23" customHeight="1">
      <c r="A51" s="6"/>
      <c r="B51" s="6"/>
      <c r="C51" s="6"/>
      <c r="D51" s="6"/>
    </row>
    <row r="52" spans="1:4" ht="23" customHeight="1">
      <c r="A52" s="6"/>
      <c r="B52" s="6"/>
      <c r="C52" s="6"/>
      <c r="D52" s="6"/>
    </row>
    <row r="53" spans="1:4" ht="23" customHeight="1">
      <c r="A53" s="6"/>
      <c r="B53" s="6"/>
      <c r="C53" s="6"/>
      <c r="D53" s="6"/>
    </row>
    <row r="54" spans="1:4" ht="23" customHeight="1">
      <c r="A54" s="6"/>
      <c r="B54" s="6"/>
      <c r="C54" s="6"/>
      <c r="D54" s="6"/>
    </row>
    <row r="55" spans="1:4" ht="23" customHeight="1">
      <c r="A55" s="6"/>
      <c r="B55" s="6"/>
      <c r="C55" s="6"/>
      <c r="D55" s="6"/>
    </row>
    <row r="56" spans="1:4" ht="23" customHeight="1">
      <c r="A56" s="6"/>
      <c r="B56" s="6"/>
      <c r="C56" s="6"/>
      <c r="D56" s="6"/>
    </row>
    <row r="57" spans="1:4" ht="23" customHeight="1">
      <c r="A57" s="6"/>
      <c r="B57" s="6"/>
      <c r="C57" s="6"/>
      <c r="D57" s="6"/>
    </row>
    <row r="58" spans="1:4" ht="23" customHeight="1">
      <c r="A58" s="6"/>
      <c r="B58" s="6"/>
      <c r="C58" s="6"/>
      <c r="D58" s="6"/>
    </row>
    <row r="59" spans="1:4" ht="23" customHeight="1">
      <c r="A59" s="6"/>
      <c r="B59" s="6"/>
      <c r="C59" s="6"/>
      <c r="D59" s="6"/>
    </row>
    <row r="60" spans="1:4" ht="23" customHeight="1">
      <c r="A60" s="6"/>
      <c r="B60" s="6"/>
      <c r="C60" s="6"/>
      <c r="D60" s="6"/>
    </row>
    <row r="61" spans="1:4" ht="23" customHeight="1">
      <c r="A61" s="6"/>
      <c r="B61" s="6"/>
      <c r="C61" s="6"/>
      <c r="D61" s="6"/>
    </row>
    <row r="62" spans="1:4" ht="23" customHeight="1">
      <c r="A62" s="6"/>
      <c r="B62" s="6"/>
      <c r="C62" s="6"/>
      <c r="D62" s="6"/>
    </row>
    <row r="63" spans="1:4" ht="23" customHeight="1">
      <c r="A63" s="6"/>
      <c r="B63" s="6"/>
      <c r="C63" s="6"/>
      <c r="D63" s="6"/>
    </row>
    <row r="64" spans="1:4" ht="23" customHeight="1">
      <c r="A64" s="6"/>
      <c r="B64" s="6"/>
      <c r="C64" s="6"/>
      <c r="D64" s="6"/>
    </row>
    <row r="65" spans="1:4" ht="23" customHeight="1">
      <c r="A65" s="6"/>
      <c r="B65" s="6"/>
      <c r="C65" s="6"/>
      <c r="D65" s="6"/>
    </row>
    <row r="66" spans="1:4" ht="23" customHeight="1">
      <c r="A66" s="6"/>
      <c r="B66" s="6"/>
      <c r="C66" s="6"/>
      <c r="D66" s="6"/>
    </row>
    <row r="67" spans="1:4" ht="23" customHeight="1">
      <c r="A67" s="6"/>
      <c r="B67" s="6"/>
      <c r="C67" s="6"/>
      <c r="D67" s="6"/>
    </row>
    <row r="68" spans="1:4" ht="23" customHeight="1">
      <c r="A68" s="6"/>
      <c r="B68" s="6"/>
      <c r="C68" s="6"/>
      <c r="D68" s="6"/>
    </row>
    <row r="69" spans="1:4" ht="23" customHeight="1">
      <c r="A69" s="6"/>
      <c r="B69" s="6"/>
      <c r="C69" s="6"/>
      <c r="D69" s="6"/>
    </row>
    <row r="70" spans="1:4" ht="23" customHeight="1">
      <c r="A70" s="6"/>
      <c r="B70" s="6"/>
      <c r="C70" s="6"/>
      <c r="D70" s="6"/>
    </row>
    <row r="71" spans="1:4" ht="23" customHeight="1">
      <c r="A71" s="6"/>
      <c r="B71" s="6"/>
      <c r="C71" s="6"/>
      <c r="D71" s="6"/>
    </row>
    <row r="72" spans="1:4" ht="23" customHeight="1">
      <c r="A72" s="6"/>
      <c r="B72" s="6"/>
      <c r="C72" s="6"/>
      <c r="D72" s="6"/>
    </row>
    <row r="73" spans="1:4" ht="23" customHeight="1">
      <c r="A73" s="6"/>
      <c r="B73" s="6"/>
      <c r="C73" s="6"/>
      <c r="D73" s="6"/>
    </row>
    <row r="74" spans="1:4" ht="23" customHeight="1">
      <c r="A74" s="6"/>
      <c r="B74" s="6"/>
      <c r="C74" s="6"/>
      <c r="D74" s="6"/>
    </row>
    <row r="75" spans="1:4" ht="23" customHeight="1">
      <c r="A75" s="6"/>
      <c r="B75" s="6"/>
      <c r="C75" s="6"/>
      <c r="D75" s="6"/>
    </row>
    <row r="76" spans="1:4" ht="23" customHeight="1">
      <c r="A76" s="6"/>
      <c r="B76" s="6"/>
      <c r="C76" s="6"/>
      <c r="D76" s="6"/>
    </row>
    <row r="77" spans="1:4" ht="23" customHeight="1">
      <c r="A77" s="6"/>
      <c r="B77" s="6"/>
      <c r="C77" s="6"/>
      <c r="D77" s="6"/>
    </row>
    <row r="78" spans="1:4" ht="23" customHeight="1">
      <c r="A78" s="6"/>
      <c r="B78" s="6"/>
      <c r="C78" s="6"/>
      <c r="D78" s="6"/>
    </row>
    <row r="79" spans="1:4" ht="23" customHeight="1">
      <c r="A79" s="6"/>
      <c r="B79" s="6"/>
      <c r="C79" s="6"/>
      <c r="D79" s="6"/>
    </row>
    <row r="80" spans="1:4" ht="23" customHeight="1">
      <c r="A80" s="6"/>
      <c r="B80" s="6"/>
      <c r="C80" s="6"/>
      <c r="D80" s="6"/>
    </row>
    <row r="81" spans="1:4" ht="23" customHeight="1">
      <c r="A81" s="6"/>
      <c r="B81" s="6"/>
      <c r="C81" s="6"/>
      <c r="D81" s="6"/>
    </row>
    <row r="82" spans="1:4" ht="23" customHeight="1">
      <c r="A82" s="6"/>
      <c r="B82" s="6"/>
      <c r="C82" s="6"/>
      <c r="D82" s="6"/>
    </row>
    <row r="83" spans="1:4" ht="23" customHeight="1">
      <c r="A83" s="6"/>
      <c r="B83" s="6"/>
      <c r="C83" s="6"/>
      <c r="D83" s="6"/>
    </row>
    <row r="84" spans="1:4" ht="23" customHeight="1">
      <c r="A84" s="6"/>
      <c r="B84" s="6"/>
      <c r="C84" s="6"/>
      <c r="D84" s="6"/>
    </row>
    <row r="85" spans="1:4" ht="23" customHeight="1">
      <c r="A85" s="6"/>
      <c r="B85" s="6"/>
      <c r="C85" s="6"/>
      <c r="D85" s="6"/>
    </row>
    <row r="86" spans="1:4" ht="23" customHeight="1">
      <c r="A86" s="6"/>
      <c r="B86" s="6"/>
      <c r="C86" s="6"/>
      <c r="D86" s="6"/>
    </row>
    <row r="87" spans="1:4" ht="23" customHeight="1">
      <c r="A87" s="6"/>
      <c r="B87" s="6"/>
      <c r="C87" s="6"/>
      <c r="D87" s="6"/>
    </row>
    <row r="88" spans="1:4" ht="23" customHeight="1">
      <c r="A88" s="6"/>
      <c r="B88" s="6"/>
      <c r="C88" s="6"/>
      <c r="D88" s="6"/>
    </row>
    <row r="89" spans="1:4" ht="23" customHeight="1">
      <c r="A89" s="6"/>
      <c r="B89" s="6"/>
      <c r="C89" s="6"/>
      <c r="D89" s="6"/>
    </row>
    <row r="90" spans="1:4" ht="23" customHeight="1">
      <c r="A90" s="6"/>
      <c r="B90" s="6"/>
      <c r="C90" s="6"/>
      <c r="D90" s="6"/>
    </row>
    <row r="91" spans="1:4" ht="23" customHeight="1">
      <c r="A91" s="6"/>
      <c r="B91" s="6"/>
      <c r="C91" s="6"/>
      <c r="D91" s="6"/>
    </row>
    <row r="92" spans="1:4" ht="23" customHeight="1">
      <c r="A92" s="6"/>
      <c r="B92" s="6"/>
      <c r="C92" s="6"/>
      <c r="D92" s="6"/>
    </row>
    <row r="93" spans="1:4" ht="23" customHeight="1">
      <c r="A93" s="6"/>
      <c r="B93" s="6"/>
      <c r="C93" s="6"/>
      <c r="D93" s="6"/>
    </row>
    <row r="94" spans="1:4" ht="23" customHeight="1">
      <c r="A94" s="6"/>
      <c r="B94" s="6"/>
      <c r="C94" s="6"/>
      <c r="D94" s="6"/>
    </row>
    <row r="95" spans="1:4" ht="23" customHeight="1">
      <c r="A95" s="6"/>
      <c r="B95" s="6"/>
      <c r="C95" s="6"/>
      <c r="D95" s="6"/>
    </row>
    <row r="96" spans="1:4" ht="23" customHeight="1">
      <c r="A96" s="6"/>
      <c r="B96" s="6"/>
      <c r="C96" s="6"/>
      <c r="D96" s="6"/>
    </row>
    <row r="97" spans="1:4" ht="23" customHeight="1">
      <c r="A97" s="6"/>
      <c r="B97" s="6"/>
      <c r="C97" s="6"/>
      <c r="D97" s="6"/>
    </row>
    <row r="98" spans="1:4" ht="23" customHeight="1">
      <c r="A98" s="6"/>
      <c r="B98" s="6"/>
      <c r="C98" s="6"/>
      <c r="D98" s="6"/>
    </row>
    <row r="99" spans="1:4" ht="23" customHeight="1">
      <c r="A99" s="6"/>
      <c r="B99" s="6"/>
      <c r="C99" s="6"/>
      <c r="D99" s="6"/>
    </row>
    <row r="100" spans="1:4" ht="23" customHeight="1">
      <c r="A100" s="6"/>
      <c r="B100" s="6"/>
      <c r="C100" s="6"/>
      <c r="D100" s="6"/>
    </row>
    <row r="101" spans="1:4" ht="23" customHeight="1">
      <c r="A101" s="6"/>
      <c r="B101" s="6"/>
      <c r="C101" s="6"/>
      <c r="D101" s="6"/>
    </row>
    <row r="102" spans="1:4" ht="23" customHeight="1">
      <c r="A102" s="6"/>
      <c r="B102" s="6"/>
      <c r="C102" s="6"/>
      <c r="D102" s="6"/>
    </row>
    <row r="103" spans="1:4" ht="23" customHeight="1">
      <c r="A103" s="6"/>
      <c r="B103" s="6"/>
      <c r="C103" s="6"/>
      <c r="D103" s="6"/>
    </row>
    <row r="104" spans="1:4" ht="23" customHeight="1">
      <c r="A104" s="6"/>
      <c r="B104" s="6"/>
      <c r="C104" s="6"/>
      <c r="D104" s="6"/>
    </row>
    <row r="105" spans="1:4" ht="23" customHeight="1">
      <c r="A105" s="6"/>
      <c r="B105" s="6"/>
      <c r="C105" s="6"/>
      <c r="D105" s="6"/>
    </row>
    <row r="106" spans="1:4" ht="23" customHeight="1">
      <c r="A106" s="6"/>
      <c r="B106" s="6"/>
      <c r="C106" s="6"/>
      <c r="D106" s="6"/>
    </row>
    <row r="107" spans="1:4" ht="23" customHeight="1">
      <c r="A107" s="6"/>
      <c r="B107" s="6"/>
      <c r="C107" s="6"/>
      <c r="D107" s="6"/>
    </row>
    <row r="108" spans="1:4" ht="23" customHeight="1">
      <c r="A108" s="6"/>
      <c r="B108" s="6"/>
      <c r="C108" s="6"/>
      <c r="D108" s="6"/>
    </row>
    <row r="109" spans="1:4" ht="23" customHeight="1">
      <c r="A109" s="6"/>
      <c r="B109" s="6"/>
      <c r="C109" s="6"/>
      <c r="D109" s="6"/>
    </row>
    <row r="110" spans="1:4" ht="23" customHeight="1">
      <c r="A110" s="6"/>
      <c r="B110" s="6"/>
      <c r="C110" s="6"/>
      <c r="D110" s="6"/>
    </row>
    <row r="111" spans="1:4" ht="23" customHeight="1">
      <c r="A111" s="6"/>
      <c r="B111" s="6"/>
      <c r="C111" s="6"/>
      <c r="D111" s="6"/>
    </row>
    <row r="112" spans="1:4" ht="23" customHeight="1">
      <c r="A112" s="6"/>
      <c r="B112" s="6"/>
      <c r="C112" s="6"/>
      <c r="D112" s="6"/>
    </row>
    <row r="113" spans="1:4" ht="23" customHeight="1">
      <c r="A113" s="6"/>
      <c r="B113" s="6"/>
      <c r="C113" s="6"/>
      <c r="D113" s="6"/>
    </row>
    <row r="114" spans="1:4" ht="23" customHeight="1">
      <c r="A114" s="6"/>
      <c r="B114" s="6"/>
      <c r="C114" s="6"/>
      <c r="D114" s="6"/>
    </row>
    <row r="115" spans="1:4" ht="23" customHeight="1">
      <c r="A115" s="6"/>
      <c r="B115" s="6"/>
      <c r="C115" s="6"/>
      <c r="D115" s="6"/>
    </row>
    <row r="116" spans="1:4" ht="23" customHeight="1">
      <c r="A116" s="6"/>
      <c r="B116" s="6"/>
      <c r="C116" s="6"/>
      <c r="D116" s="6"/>
    </row>
    <row r="117" spans="1:4" ht="23" customHeight="1">
      <c r="A117" s="6"/>
      <c r="B117" s="6"/>
      <c r="C117" s="6"/>
      <c r="D117" s="6"/>
    </row>
    <row r="118" spans="1:4" ht="23" customHeight="1">
      <c r="A118" s="6"/>
      <c r="B118" s="6"/>
      <c r="C118" s="6"/>
      <c r="D118" s="6"/>
    </row>
    <row r="119" spans="1:4" ht="23" customHeight="1">
      <c r="A119" s="6"/>
      <c r="B119" s="6"/>
      <c r="C119" s="6"/>
      <c r="D119" s="6"/>
    </row>
    <row r="120" spans="1:4" ht="23" customHeight="1">
      <c r="A120" s="6"/>
      <c r="B120" s="6"/>
      <c r="C120" s="6"/>
      <c r="D120" s="6"/>
    </row>
  </sheetData>
  <mergeCells count="2"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0"/>
  <sheetViews>
    <sheetView showGridLines="0" workbookViewId="0"/>
  </sheetViews>
  <sheetFormatPr baseColWidth="10" defaultColWidth="8.83203125" defaultRowHeight="14"/>
  <cols>
    <col min="1" max="1" width="50" customWidth="1"/>
    <col min="2" max="2" width="17" customWidth="1"/>
    <col min="3" max="3" width="52" customWidth="1"/>
    <col min="4" max="4" width="60" customWidth="1"/>
  </cols>
  <sheetData>
    <row r="1" spans="1:4" ht="31" customHeight="1">
      <c r="A1" s="32" t="str">
        <f>'Balance Sheet'!P$1</f>
        <v>Repsol Cash Flow Statement - Direct Method</v>
      </c>
      <c r="B1" s="42"/>
      <c r="C1" s="43"/>
      <c r="D1" s="43"/>
    </row>
    <row r="2" spans="1:4" ht="32" customHeight="1">
      <c r="A2" s="35" t="str">
        <f>'Balance Sheet'!P$2</f>
        <v>Reconstructed from P&amp;L, balance sheet, equity roll-forward and selected source notes; the published cash flow statement was not used.</v>
      </c>
      <c r="B2" s="34"/>
      <c r="C2" s="34"/>
      <c r="D2" s="34"/>
    </row>
    <row r="3" spans="1:4" ht="23" customHeight="1">
      <c r="A3" s="6"/>
      <c r="B3" s="6"/>
      <c r="C3" s="6"/>
      <c r="D3" s="6"/>
    </row>
    <row r="4" spans="1:4" ht="23" customHeight="1">
      <c r="A4" s="7" t="str">
        <f>'Balance Sheet'!P$4</f>
        <v>Line item</v>
      </c>
      <c r="B4" s="8" t="str">
        <f>'Balance Sheet'!Q$4</f>
        <v>2025</v>
      </c>
      <c r="C4" s="8" t="str">
        <f>'Balance Sheet'!R$4</f>
        <v>Formula / source logic</v>
      </c>
      <c r="D4" s="8" t="str">
        <f>'Balance Sheet'!S$4</f>
        <v>Technical note</v>
      </c>
    </row>
    <row r="5" spans="1:4" ht="23" customHeight="1">
      <c r="A5" s="9" t="str">
        <f>IF('Balance Sheet'!P$5="","",'Balance Sheet'!P$5)</f>
        <v>Beginning cash and cash equivalents</v>
      </c>
      <c r="B5" s="10">
        <f>SUMIF('Balance Sheet'!$A$1:$A$90,"Cash and cash equivalents",'Balance Sheet'!$C$1:$C$90)</f>
        <v>4758000</v>
      </c>
      <c r="C5" s="11" t="str">
        <f>IF('Balance Sheet'!R$5="","",'Balance Sheet'!R$5)</f>
        <v>Prior-year balance sheet cash</v>
      </c>
      <c r="D5" s="11" t="str">
        <f>IF('Balance Sheet'!S$5="","",'Balance Sheet'!S$5)</f>
        <v/>
      </c>
    </row>
    <row r="6" spans="1:4" ht="23" customHeight="1">
      <c r="A6" s="19" t="str">
        <f>IF('Balance Sheet'!P$6="","",'Balance Sheet'!P$6)</f>
        <v>Cash flow from operating activities - direct method</v>
      </c>
      <c r="B6" s="20" t="str">
        <f>IF('Balance Sheet'!Q$6="","",'Balance Sheet'!Q$6)</f>
        <v/>
      </c>
      <c r="C6" s="21" t="str">
        <f>IF('Balance Sheet'!R$6="","",'Balance Sheet'!R$6)</f>
        <v/>
      </c>
      <c r="D6" s="21" t="str">
        <f>IF('Balance Sheet'!S$6="","",'Balance Sheet'!S$6)</f>
        <v/>
      </c>
    </row>
    <row r="7" spans="1:4" ht="42" customHeight="1">
      <c r="A7" s="9" t="str">
        <f>IF('Balance Sheet'!P$7="","",'Balance Sheet'!P$7)</f>
        <v>Cash receipts from customers</v>
      </c>
      <c r="B7" s="10">
        <f>SUMIF('P&amp;L'!$A$1:$A$80,"Sales",'P&amp;L'!$B$1:$B$80)+SUMIF('P&amp;L'!$A$1:$A$80,"Income from services rendered and other income",'P&amp;L'!$B$1:$B$80)+(SUMIF('Balance Sheet'!$A$1:$A$90,"Trade and other receivables",'Balance Sheet'!$C$1:$C$90)-SUMIF('Balance Sheet'!$A$1:$A$90,"Trade and other receivables",'Balance Sheet'!$B$1:$B$90))</f>
        <v>55668000</v>
      </c>
      <c r="C7" s="11" t="str">
        <f>IF('Balance Sheet'!R$7="","",'Balance Sheet'!R$7)</f>
        <v>Sales + services/other income - increase in trade receivables</v>
      </c>
      <c r="D7" s="11" t="str">
        <f>IF('Balance Sheet'!S$7="","",'Balance Sheet'!S$7)</f>
        <v>Uses trade and other receivables because customer receivables are not separately disclosed in the balance sheet.</v>
      </c>
    </row>
    <row r="8" spans="1:4" ht="42" customHeight="1">
      <c r="A8" s="9" t="str">
        <f>IF('Balance Sheet'!P$8="","",'Balance Sheet'!P$8)</f>
        <v>Cash paid to suppliers and other operating costs</v>
      </c>
      <c r="B8" s="10">
        <f>SUMIF('P&amp;L'!$A$1:$A$80,"Procurements",'P&amp;L'!$B$1:$B$80)+SUMIF('P&amp;L'!$A$1:$A$80,"Transport and freights",'P&amp;L'!$B$1:$B$80)+SUMIF('P&amp;L'!$A$1:$A$80,"Supplies",'P&amp;L'!$B$1:$B$80)+SUMIF('P&amp;L'!$A$1:$A$80,"Other operating income/(expenses)",'P&amp;L'!$B$1:$B$80)-(SUMIF('Balance Sheet'!$A$1:$A$90,"Inventories",'Balance Sheet'!$B$1:$B$90)-SUMIF('Balance Sheet'!$A$1:$A$90,"Inventories",'Balance Sheet'!$C$1:$C$90))+(SUMIF('Balance Sheet'!$A$1:$A$90,"Trade and other payables",'Balance Sheet'!$B$1:$B$90)-SUMIF('Balance Sheet'!$A$1:$A$90,"Trade and other payables",'Balance Sheet'!$C$1:$C$90))</f>
        <v>-47884000</v>
      </c>
      <c r="C8" s="11" t="str">
        <f>IF('Balance Sheet'!R$8="","",'Balance Sheet'!R$8)</f>
        <v>Procurements + transport + supplies + other opex - inventory increase + payables increase</v>
      </c>
      <c r="D8" s="11" t="str">
        <f>IF('Balance Sheet'!S$8="","",'Balance Sheet'!S$8)</f>
        <v>Trade payables are not separately disclosed; this uses the reported trade and other payables line.</v>
      </c>
    </row>
    <row r="9" spans="1:4" ht="23" customHeight="1">
      <c r="A9" s="9" t="str">
        <f>IF('Balance Sheet'!P$9="","",'Balance Sheet'!P$9)</f>
        <v>Less: dividend payable accrued in trade payables</v>
      </c>
      <c r="B9" s="10">
        <f>-SUMIF('Balance Sheet'!$K$1:$K$120,"Dividend payable accrued, not paid",'Balance Sheet'!$L$1:$L$120)</f>
        <v>-552000</v>
      </c>
      <c r="C9" s="11" t="str">
        <f>IF('Balance Sheet'!R$9="","",'Balance Sheet'!R$9)</f>
        <v>Reclass non-operating payable out of supplier payments</v>
      </c>
      <c r="D9" s="11" t="str">
        <f>IF('Balance Sheet'!S$9="","",'Balance Sheet'!S$9)</f>
        <v>January 2026 shareholder remuneration was accrued in 2025 trade payables, not paid in 2025.</v>
      </c>
    </row>
    <row r="10" spans="1:4" ht="23" customHeight="1">
      <c r="A10" s="9" t="str">
        <f>IF('Balance Sheet'!P$10="","",'Balance Sheet'!P$10)</f>
        <v>Cash paid to employees</v>
      </c>
      <c r="B10" s="10">
        <f>SUMIF('P&amp;L'!$A$1:$A$80,"Personnel expenses",'P&amp;L'!$B$1:$B$80)</f>
        <v>-2178000</v>
      </c>
      <c r="C10" s="11" t="str">
        <f>IF('Balance Sheet'!R$10="","",'Balance Sheet'!R$10)</f>
        <v>Personnel expense used as cash proxy</v>
      </c>
      <c r="D10" s="11" t="str">
        <f>IF('Balance Sheet'!S$10="","",'Balance Sheet'!S$10)</f>
        <v>Payroll accrual balances are not separately disclosed.</v>
      </c>
    </row>
    <row r="11" spans="1:4" ht="23" customHeight="1">
      <c r="A11" s="9" t="str">
        <f>IF('Balance Sheet'!P$11="","",'Balance Sheet'!P$11)</f>
        <v>Interest received</v>
      </c>
      <c r="B11" s="10">
        <f>SUMIF('P&amp;L'!$A$1:$A$80,"Interest income",'P&amp;L'!$B$1:$B$80)</f>
        <v>257000</v>
      </c>
      <c r="C11" s="11" t="str">
        <f>IF('Balance Sheet'!R$11="","",'Balance Sheet'!R$11)</f>
        <v>Interest income</v>
      </c>
      <c r="D11" s="11" t="str">
        <f>IF('Balance Sheet'!S$11="","",'Balance Sheet'!S$11)</f>
        <v/>
      </c>
    </row>
    <row r="12" spans="1:4" ht="23" customHeight="1">
      <c r="A12" s="9" t="str">
        <f>IF('Balance Sheet'!P$12="","",'Balance Sheet'!P$12)</f>
        <v>Interest paid</v>
      </c>
      <c r="B12" s="10">
        <f>SUMIF('P&amp;L'!$A$1:$A$80,"Interest expenses",'P&amp;L'!$B$1:$B$80)</f>
        <v>-291000</v>
      </c>
      <c r="C12" s="11" t="str">
        <f>IF('Balance Sheet'!R$12="","",'Balance Sheet'!R$12)</f>
        <v>Interest expense</v>
      </c>
      <c r="D12" s="11" t="str">
        <f>IF('Balance Sheet'!S$12="","",'Balance Sheet'!S$12)</f>
        <v/>
      </c>
    </row>
    <row r="13" spans="1:4" ht="23" customHeight="1">
      <c r="A13" s="9" t="str">
        <f>IF('Balance Sheet'!P$13="","",'Balance Sheet'!P$13)</f>
        <v>Income taxes paid/accrued</v>
      </c>
      <c r="B13" s="10">
        <f>SUMIF('P&amp;L'!$A$1:$A$80,"Income tax",'P&amp;L'!$B$1:$B$80)</f>
        <v>-717000</v>
      </c>
      <c r="C13" s="11" t="str">
        <f>IF('Balance Sheet'!R$13="","",'Balance Sheet'!R$13)</f>
        <v>Income tax expense used as cash proxy</v>
      </c>
      <c r="D13" s="11" t="str">
        <f>IF('Balance Sheet'!S$13="","",'Balance Sheet'!S$13)</f>
        <v>Current tax payable/receivable movements are not separately disclosed.</v>
      </c>
    </row>
    <row r="14" spans="1:4" ht="23" customHeight="1">
      <c r="A14" s="9" t="str">
        <f>IF('Balance Sheet'!P$14="","",'Balance Sheet'!P$14)</f>
        <v>Cash settlements of provisions</v>
      </c>
      <c r="B14" s="10">
        <f>-SUMIF('Balance Sheet'!$K$1:$K$120,"Provision cash payments",'Balance Sheet'!$L$1:$L$120)</f>
        <v>-343000</v>
      </c>
      <c r="C14" s="11" t="str">
        <f>IF('Balance Sheet'!R$14="","",'Balance Sheet'!R$14)</f>
        <v>Cancellation due to payment from provisions note</v>
      </c>
      <c r="D14" s="11" t="str">
        <f>IF('Balance Sheet'!S$14="","",'Balance Sheet'!S$14)</f>
        <v/>
      </c>
    </row>
    <row r="15" spans="1:4" ht="23" customHeight="1">
      <c r="A15" s="12" t="str">
        <f>IF('Balance Sheet'!P$15="","",'Balance Sheet'!P$15)</f>
        <v>Operating cash flow - direct observable subtotal</v>
      </c>
      <c r="B15" s="13">
        <f>SUM(B7:B14)</f>
        <v>3960000</v>
      </c>
      <c r="C15" s="14" t="str">
        <f>IF('Balance Sheet'!R$15="","",'Balance Sheet'!R$15)</f>
        <v/>
      </c>
      <c r="D15" s="14" t="str">
        <f>IF('Balance Sheet'!S$15="","",'Balance Sheet'!S$15)</f>
        <v/>
      </c>
    </row>
    <row r="16" spans="1:4" ht="23" customHeight="1">
      <c r="A16" s="19" t="str">
        <f>IF('Balance Sheet'!P$16="","",'Balance Sheet'!P$16)</f>
        <v>Cash flow from investing activities</v>
      </c>
      <c r="B16" s="20" t="str">
        <f>IF('Balance Sheet'!Q$16="","",'Balance Sheet'!Q$16)</f>
        <v/>
      </c>
      <c r="C16" s="21" t="str">
        <f>IF('Balance Sheet'!R$16="","",'Balance Sheet'!R$16)</f>
        <v/>
      </c>
      <c r="D16" s="21" t="str">
        <f>IF('Balance Sheet'!S$16="","",'Balance Sheet'!S$16)</f>
        <v/>
      </c>
    </row>
    <row r="17" spans="1:4" ht="42" customHeight="1">
      <c r="A17" s="9" t="str">
        <f>IF('Balance Sheet'!P$17="","",'Balance Sheet'!P$17)</f>
        <v>Cash capex proxy - PPE and intangible assets</v>
      </c>
      <c r="B17" s="10">
        <f>-SUMIF('Balance Sheet'!$K$1:$K$120,"Cash capex proxy",'Balance Sheet'!$L$1:$L$120)</f>
        <v>-3611000</v>
      </c>
      <c r="C17" s="11" t="str">
        <f>IF('Balance Sheet'!R$17="","",'Balance Sheet'!R$17)</f>
        <v>Gross PPE/intangible investments less non-cash lease additions</v>
      </c>
      <c r="D17" s="11" t="str">
        <f>IF('Balance Sheet'!S$17="","",'Balance Sheet'!S$17)</f>
        <v>Uses notes 16 and 17 instead of net balance movement, avoiding FX/scope distortions.</v>
      </c>
    </row>
    <row r="18" spans="1:4" ht="42" customHeight="1">
      <c r="A18" s="9" t="str">
        <f>IF('Balance Sheet'!P$18="","",'Balance Sheet'!P$18)</f>
        <v>Disposal proceeds proxy - PPE and intangible assets</v>
      </c>
      <c r="B18" s="10">
        <f>SUMIF('Balance Sheet'!$K$1:$K$120,"Disposal proceeds proxy",'Balance Sheet'!$L$1:$L$120)</f>
        <v>153000</v>
      </c>
      <c r="C18" s="11" t="str">
        <f>IF('Balance Sheet'!R$18="","",'Balance Sheet'!R$18)</f>
        <v>Net carrying amount derecognized plus P&amp;L disposal gain</v>
      </c>
      <c r="D18" s="11" t="str">
        <f>IF('Balance Sheet'!S$18="","",'Balance Sheet'!S$18)</f>
        <v/>
      </c>
    </row>
    <row r="19" spans="1:4" ht="23" customHeight="1">
      <c r="A19" s="9" t="str">
        <f>IF('Balance Sheet'!P$19="","",'Balance Sheet'!P$19)</f>
        <v>Net equity-method investing cash flow</v>
      </c>
      <c r="B19" s="10">
        <f>SUMIF('Balance Sheet'!$K$1:$K$120,"Net equity-method investing cash flow",'Balance Sheet'!$L$1:$L$120)</f>
        <v>73000</v>
      </c>
      <c r="C19" s="11" t="str">
        <f>IF('Balance Sheet'!R$19="","",'Balance Sheet'!R$19)</f>
        <v>Dividends from equity-accounted investments less net investments</v>
      </c>
      <c r="D19" s="11" t="str">
        <f>IF('Balance Sheet'!S$19="","",'Balance Sheet'!S$19)</f>
        <v/>
      </c>
    </row>
    <row r="20" spans="1:4" ht="23" customHeight="1">
      <c r="A20" s="9" t="str">
        <f>IF('Balance Sheet'!P$20="","",'Balance Sheet'!P$20)</f>
        <v>Net movement in financial assets</v>
      </c>
      <c r="B20" s="10">
        <f>SUMIF('Balance Sheet'!$K$1:$K$120,"Net financial assets movement excluding cash",'Balance Sheet'!$L$1:$L$120)</f>
        <v>-2084000</v>
      </c>
      <c r="C20" s="11" t="str">
        <f>IF('Balance Sheet'!R$20="","",'Balance Sheet'!R$20)</f>
        <v>Change in Note 13 financial assets excluding cash</v>
      </c>
      <c r="D20" s="11" t="str">
        <f>IF('Balance Sheet'!S$20="","",'Balance Sheet'!S$20)</f>
        <v/>
      </c>
    </row>
    <row r="21" spans="1:4" ht="23" customHeight="1">
      <c r="A21" s="9" t="str">
        <f>IF('Balance Sheet'!P$21="","",'Balance Sheet'!P$21)</f>
        <v>Held-for-sale disposal proceeds proxy</v>
      </c>
      <c r="B21" s="10">
        <f>SUMIF('Balance Sheet'!$K$1:$K$120,"Held-for-sale disposal proceeds proxy",'Balance Sheet'!$L$1:$L$120)</f>
        <v>302000</v>
      </c>
      <c r="C21" s="11" t="str">
        <f>IF('Balance Sheet'!R$21="","",'Balance Sheet'!R$21)</f>
        <v>Completed asset disposals disclosed in Note 19, translated using disclosed average FX</v>
      </c>
      <c r="D21" s="11" t="str">
        <f>IF('Balance Sheet'!S$21="","",'Balance Sheet'!S$21)</f>
        <v/>
      </c>
    </row>
    <row r="22" spans="1:4" ht="23" customHeight="1">
      <c r="A22" s="9" t="str">
        <f>IF('Balance Sheet'!P$22="","",'Balance Sheet'!P$22)</f>
        <v>Indonesia Corridor disposal proceeds proxy</v>
      </c>
      <c r="B22" s="10">
        <f>SUMIF('Balance Sheet'!$K$1:$K$120,"Indonesia Corridor disposal proceeds proxy",'Balance Sheet'!$L$1:$L$120)</f>
        <v>376000</v>
      </c>
      <c r="C22" s="11" t="str">
        <f>IF('Balance Sheet'!R$22="","",'Balance Sheet'!R$22)</f>
        <v>Completed asset disposal disclosed in Note 17, translated using disclosed average FX</v>
      </c>
      <c r="D22" s="11" t="str">
        <f>IF('Balance Sheet'!S$22="","",'Balance Sheet'!S$22)</f>
        <v/>
      </c>
    </row>
    <row r="23" spans="1:4" ht="23" customHeight="1">
      <c r="A23" s="12" t="str">
        <f>IF('Balance Sheet'!P$23="","",'Balance Sheet'!P$23)</f>
        <v>Investing cash flow - observable subtotal</v>
      </c>
      <c r="B23" s="13">
        <f>SUM(B17:B22)</f>
        <v>-4791000</v>
      </c>
      <c r="C23" s="14" t="str">
        <f>IF('Balance Sheet'!R$23="","",'Balance Sheet'!R$23)</f>
        <v/>
      </c>
      <c r="D23" s="14" t="str">
        <f>IF('Balance Sheet'!S$23="","",'Balance Sheet'!S$23)</f>
        <v/>
      </c>
    </row>
    <row r="24" spans="1:4" ht="23" customHeight="1">
      <c r="A24" s="19" t="str">
        <f>IF('Balance Sheet'!P$24="","",'Balance Sheet'!P$24)</f>
        <v>Cash flow from financing activities</v>
      </c>
      <c r="B24" s="20" t="str">
        <f>IF('Balance Sheet'!Q$24="","",'Balance Sheet'!Q$24)</f>
        <v/>
      </c>
      <c r="C24" s="21" t="str">
        <f>IF('Balance Sheet'!R$24="","",'Balance Sheet'!R$24)</f>
        <v/>
      </c>
      <c r="D24" s="21" t="str">
        <f>IF('Balance Sheet'!S$24="","",'Balance Sheet'!S$24)</f>
        <v/>
      </c>
    </row>
    <row r="25" spans="1:4" ht="23" customHeight="1">
      <c r="A25" s="9" t="str">
        <f>IF('Balance Sheet'!P$25="","",'Balance Sheet'!P$25)</f>
        <v>Net change in financial liabilities</v>
      </c>
      <c r="B25" s="10">
        <f>(SUMIF('Balance Sheet'!$A$1:$A$90,"Non-current financial liabilities",'Balance Sheet'!$B$1:$B$90)+SUMIF('Balance Sheet'!$A$1:$A$90,"Current financial liabilities",'Balance Sheet'!$B$1:$B$90))-(SUMIF('Balance Sheet'!$A$1:$A$90,"Non-current financial liabilities",'Balance Sheet'!$C$1:$C$90)+SUMIF('Balance Sheet'!$A$1:$A$90,"Current financial liabilities",'Balance Sheet'!$C$1:$C$90))</f>
        <v>1050000</v>
      </c>
      <c r="C25" s="11" t="str">
        <f>IF('Balance Sheet'!R$25="","",'Balance Sheet'!R$25)</f>
        <v>Change in current and non-current financial liabilities</v>
      </c>
      <c r="D25" s="11" t="str">
        <f>IF('Balance Sheet'!S$25="","",'Balance Sheet'!S$25)</f>
        <v/>
      </c>
    </row>
    <row r="26" spans="1:4" ht="23" customHeight="1">
      <c r="A26" s="9" t="str">
        <f>IF('Balance Sheet'!P$26="","",'Balance Sheet'!P$26)</f>
        <v>Dividends and shareholder remuneration</v>
      </c>
      <c r="B26" s="10">
        <f>SUMIF('Balance Sheet'!$A$1:$A$90,"Dividends and shareholder remuneration",'Balance Sheet'!$B$1:$B$90)</f>
        <v>-1388000</v>
      </c>
      <c r="C26" s="11" t="str">
        <f>IF('Balance Sheet'!R$26="","",'Balance Sheet'!R$26)</f>
        <v>Equity movement memo</v>
      </c>
      <c r="D26" s="11" t="str">
        <f>IF('Balance Sheet'!S$26="","",'Balance Sheet'!S$26)</f>
        <v/>
      </c>
    </row>
    <row r="27" spans="1:4" ht="23" customHeight="1">
      <c r="A27" s="9" t="str">
        <f>IF('Balance Sheet'!P$27="","",'Balance Sheet'!P$27)</f>
        <v>Treasury share cash flow</v>
      </c>
      <c r="B27" s="10">
        <f>SUMIF('Balance Sheet'!$K$1:$K$120,"Net treasury share cash flow",'Balance Sheet'!$L$1:$L$120)</f>
        <v>-805000</v>
      </c>
      <c r="C27" s="11" t="str">
        <f>IF('Balance Sheet'!R$27="","",'Balance Sheet'!R$27)</f>
        <v>Market purchases, market sales and derivative settlements disclosed in notes</v>
      </c>
      <c r="D27" s="11" t="str">
        <f>IF('Balance Sheet'!S$27="","",'Balance Sheet'!S$27)</f>
        <v/>
      </c>
    </row>
    <row r="28" spans="1:4" ht="23" customHeight="1">
      <c r="A28" s="9" t="str">
        <f>IF('Balance Sheet'!P$28="","",'Balance Sheet'!P$28)</f>
        <v>Subordinated perpetual debentures cash flow</v>
      </c>
      <c r="B28" s="10">
        <f>SUMIF('Balance Sheet'!$K$1:$K$120,"Net subordinated hybrid cash flow",'Balance Sheet'!$L$1:$L$120)</f>
        <v>742000</v>
      </c>
      <c r="C28" s="11" t="str">
        <f>IF('Balance Sheet'!R$28="","",'Balance Sheet'!R$28)</f>
        <v>Hybrid issues less repurchases/redemptions disclosed in notes</v>
      </c>
      <c r="D28" s="11" t="str">
        <f>IF('Balance Sheet'!S$28="","",'Balance Sheet'!S$28)</f>
        <v/>
      </c>
    </row>
    <row r="29" spans="1:4" ht="23" customHeight="1">
      <c r="A29" s="9" t="str">
        <f>IF('Balance Sheet'!P$29="","",'Balance Sheet'!P$29)</f>
        <v>Other partner/scope/equity movements</v>
      </c>
      <c r="B29" s="10">
        <f>SUMIF('Balance Sheet'!$A$1:$A$90,"Increases/(reductions) due to changes in scope",'Balance Sheet'!$B$1:$B$90)+SUMIF('Balance Sheet'!$A$1:$A$90,"Other transactions with partners or owners",'Balance Sheet'!$B$1:$B$90)+SUMIF('Balance Sheet'!$A$1:$A$90,"Other changes",'Balance Sheet'!$B$1:$B$90)+SUMIF('Balance Sheet'!$A$1:$A$90,"Share capital increase/(reduction)",'Balance Sheet'!$B$1:$B$90)</f>
        <v>171000</v>
      </c>
      <c r="C29" s="11" t="str">
        <f>IF('Balance Sheet'!R$29="","",'Balance Sheet'!R$29)</f>
        <v>Equity movement memo items other than dividends, treasury shares and perpetual debentures</v>
      </c>
      <c r="D29" s="11" t="str">
        <f>IF('Balance Sheet'!S$29="","",'Balance Sheet'!S$29)</f>
        <v/>
      </c>
    </row>
    <row r="30" spans="1:4" ht="23" customHeight="1">
      <c r="A30" s="9" t="str">
        <f>IF('Balance Sheet'!P$30="","",'Balance Sheet'!P$30)</f>
        <v>Public grants received for hydrogen projects</v>
      </c>
      <c r="B30" s="10">
        <f>SUMIF('Balance Sheet'!$K$1:$K$120,"Public grants received for hydrogen projects",'Balance Sheet'!$L$1:$L$120)</f>
        <v>315000</v>
      </c>
      <c r="C30" s="11" t="str">
        <f>IF('Balance Sheet'!R$30="","",'Balance Sheet'!R$30)</f>
        <v>Funds received from public authorities disclosed in Note 19</v>
      </c>
      <c r="D30" s="11" t="str">
        <f>IF('Balance Sheet'!S$30="","",'Balance Sheet'!S$30)</f>
        <v/>
      </c>
    </row>
    <row r="31" spans="1:4" ht="23" customHeight="1">
      <c r="A31" s="9" t="str">
        <f>IF('Balance Sheet'!P$31="","",'Balance Sheet'!P$31)</f>
        <v>Liabilities associated with held-for-sale assets</v>
      </c>
      <c r="B31" s="10">
        <f>SUMIF('Balance Sheet'!$A$1:$A$90,"Liabilities associated with non-current assets held for sale",'Balance Sheet'!$B$1:$B$90)-SUMIF('Balance Sheet'!$A$1:$A$90,"Liabilities associated with non-current assets held for sale",'Balance Sheet'!$C$1:$C$90)</f>
        <v>462000</v>
      </c>
      <c r="C31" s="11" t="str">
        <f>IF('Balance Sheet'!R$31="","",'Balance Sheet'!R$31)</f>
        <v>Change in related liability line</v>
      </c>
      <c r="D31" s="11" t="str">
        <f>IF('Balance Sheet'!S$31="","",'Balance Sheet'!S$31)</f>
        <v/>
      </c>
    </row>
    <row r="32" spans="1:4" ht="23" customHeight="1">
      <c r="A32" s="12" t="str">
        <f>IF('Balance Sheet'!P$32="","",'Balance Sheet'!P$32)</f>
        <v>Financing cash flow - observable subtotal</v>
      </c>
      <c r="B32" s="13">
        <f>SUM(B25:B31)</f>
        <v>547000</v>
      </c>
      <c r="C32" s="14" t="str">
        <f>IF('Balance Sheet'!R$32="","",'Balance Sheet'!R$32)</f>
        <v/>
      </c>
      <c r="D32" s="14" t="str">
        <f>IF('Balance Sheet'!S$32="","",'Balance Sheet'!S$32)</f>
        <v/>
      </c>
    </row>
    <row r="33" spans="1:4" ht="23" customHeight="1">
      <c r="A33" s="12" t="str">
        <f>IF('Balance Sheet'!P$33="","",'Balance Sheet'!P$33)</f>
        <v>Subtotal - independently sourced items (I + II + III)</v>
      </c>
      <c r="B33" s="13">
        <f>B15+B23+B32</f>
        <v>-284000</v>
      </c>
      <c r="C33" s="14" t="str">
        <f>IF('Balance Sheet'!R$33="","",'Balance Sheet'!R$33)</f>
        <v/>
      </c>
      <c r="D33" s="14" t="str">
        <f>IF('Balance Sheet'!S$33="","",'Balance Sheet'!S$33)</f>
        <v>Subtotal before the explicit balance-sheet reconciliation line.</v>
      </c>
    </row>
    <row r="34" spans="1:4" ht="42" customHeight="1">
      <c r="A34" s="19" t="str">
        <f>IF('Balance Sheet'!P$34="","",'Balance Sheet'!P$34)</f>
        <v>Reconciliation to actual cash movement</v>
      </c>
      <c r="B34" s="20" t="str">
        <f>IF('Balance Sheet'!Q$34="","",'Balance Sheet'!Q$34)</f>
        <v/>
      </c>
      <c r="C34" s="21" t="str">
        <f>IF('Balance Sheet'!R$34="","",'Balance Sheet'!R$34)</f>
        <v/>
      </c>
      <c r="D34" s="21" t="str">
        <f>IF('Balance Sheet'!S$34="","",'Balance Sheet'!S$34)</f>
        <v/>
      </c>
    </row>
    <row r="35" spans="1:4" ht="42" customHeight="1">
      <c r="A35" s="12" t="str">
        <f>IF('Balance Sheet'!P$35="","",'Balance Sheet'!P$35)</f>
        <v>Actual net increase/(decrease) in cash and cash equivalents (per Balance Sheet)</v>
      </c>
      <c r="B35" s="13">
        <f>SUMIF('Balance Sheet'!$A$1:$A$90,"Cash and cash equivalents",'Balance Sheet'!$B$1:$B$90)-SUMIF('Balance Sheet'!$A$1:$A$90,"Cash and cash equivalents",'Balance Sheet'!$C$1:$C$90)</f>
        <v>-1497000</v>
      </c>
      <c r="C35" s="14" t="str">
        <f>IF('Balance Sheet'!R$35="","",'Balance Sheet'!R$35)</f>
        <v>Current-year cash less prior-year cash from the balance sheet</v>
      </c>
      <c r="D35" s="14" t="str">
        <f>IF('Balance Sheet'!S$35="","",'Balance Sheet'!S$35)</f>
        <v/>
      </c>
    </row>
    <row r="36" spans="1:4" ht="42" customHeight="1">
      <c r="A36" s="23" t="str">
        <f>IF('Balance Sheet'!P$36="","",'Balance Sheet'!P$36)</f>
        <v>Unreconciled / non-cash and other unallocated items</v>
      </c>
      <c r="B36" s="24">
        <f>B35-B33</f>
        <v>-1213000</v>
      </c>
      <c r="C36" s="25" t="str">
        <f>IF('Balance Sheet'!R$36="","",'Balance Sheet'!R$36)</f>
        <v>Actual balance-sheet cash movement less independently sourced subtotal</v>
      </c>
      <c r="D36" s="25" t="str">
        <f>IF('Balance Sheet'!S$36="","",'Balance Sheet'!S$36)</f>
        <v>Visible reconciliation line, not an operating/investing/financing plug.</v>
      </c>
    </row>
    <row r="37" spans="1:4" ht="42" customHeight="1">
      <c r="A37" s="26" t="str">
        <f>IF('Balance Sheet'!P$37="","",'Balance Sheet'!P$37)</f>
        <v>Net increase/(decrease) in cash and cash equivalents (= actual, by construction)</v>
      </c>
      <c r="B37" s="31">
        <f>B33+B36</f>
        <v>-1497000</v>
      </c>
      <c r="C37" s="27" t="str">
        <f>IF('Balance Sheet'!R$37="","",'Balance Sheet'!R$37)</f>
        <v>Subtotal plus visible reconciliation line</v>
      </c>
      <c r="D37" s="27" t="str">
        <f>IF('Balance Sheet'!S$37="","",'Balance Sheet'!S$37)</f>
        <v/>
      </c>
    </row>
    <row r="38" spans="1:4" ht="42" customHeight="1">
      <c r="A38" s="12" t="str">
        <f>IF('Balance Sheet'!P$38="","",'Balance Sheet'!P$38)</f>
        <v>Cash and cash equivalents at beginning of period</v>
      </c>
      <c r="B38" s="13">
        <f>B5</f>
        <v>4758000</v>
      </c>
      <c r="C38" s="14" t="str">
        <f>IF('Balance Sheet'!R$38="","",'Balance Sheet'!R$38)</f>
        <v/>
      </c>
      <c r="D38" s="14" t="str">
        <f>IF('Balance Sheet'!S$38="","",'Balance Sheet'!S$38)</f>
        <v/>
      </c>
    </row>
    <row r="39" spans="1:4" ht="42" customHeight="1">
      <c r="A39" s="12" t="str">
        <f>IF('Balance Sheet'!P$39="","",'Balance Sheet'!P$39)</f>
        <v>Cash and cash equivalents at end of period</v>
      </c>
      <c r="B39" s="13">
        <f>B38+B37</f>
        <v>3261000</v>
      </c>
      <c r="C39" s="14" t="str">
        <f>IF('Balance Sheet'!R$39="","",'Balance Sheet'!R$39)</f>
        <v>Reconciles to balance sheet cash by construction</v>
      </c>
      <c r="D39" s="14" t="str">
        <f>IF('Balance Sheet'!S$39="","",'Balance Sheet'!S$39)</f>
        <v/>
      </c>
    </row>
    <row r="40" spans="1:4" ht="42" customHeight="1">
      <c r="A40" s="28" t="str">
        <f>IF('Balance Sheet'!P$40="","",'Balance Sheet'!P$40)</f>
        <v>Check: ending cash per statement above vs. balance sheet</v>
      </c>
      <c r="B40" s="29">
        <f>B39-SUMIF('Balance Sheet'!$A$1:$A$90,"Cash and cash equivalents",'Balance Sheet'!$B$1:$B$90)</f>
        <v>0</v>
      </c>
      <c r="C40" s="30" t="str">
        <f>IF('Balance Sheet'!R$40="","",'Balance Sheet'!R$40)</f>
        <v/>
      </c>
      <c r="D40" s="30" t="str">
        <f>IF('Balance Sheet'!S$40="","",'Balance Sheet'!S$40)</f>
        <v>Must be zero after the explicit reconciliation line.</v>
      </c>
    </row>
    <row r="41" spans="1:4" ht="23" customHeight="1">
      <c r="A41" s="6"/>
      <c r="B41" s="6"/>
      <c r="C41" s="6"/>
      <c r="D41" s="6"/>
    </row>
    <row r="42" spans="1:4" ht="23" customHeight="1">
      <c r="A42" s="6"/>
      <c r="B42" s="6"/>
      <c r="C42" s="6"/>
      <c r="D42" s="6"/>
    </row>
    <row r="43" spans="1:4" ht="23" customHeight="1">
      <c r="A43" s="6"/>
      <c r="B43" s="6"/>
      <c r="C43" s="6"/>
      <c r="D43" s="6"/>
    </row>
    <row r="44" spans="1:4" ht="23" customHeight="1">
      <c r="A44" s="6"/>
      <c r="B44" s="6"/>
      <c r="C44" s="6"/>
      <c r="D44" s="6"/>
    </row>
    <row r="45" spans="1:4" ht="23" customHeight="1">
      <c r="A45" s="6"/>
      <c r="B45" s="6"/>
      <c r="C45" s="6"/>
      <c r="D45" s="6"/>
    </row>
    <row r="46" spans="1:4" ht="23" customHeight="1">
      <c r="A46" s="6"/>
      <c r="B46" s="6"/>
      <c r="C46" s="6"/>
      <c r="D46" s="6"/>
    </row>
    <row r="47" spans="1:4" ht="23" customHeight="1">
      <c r="A47" s="6"/>
      <c r="B47" s="6"/>
      <c r="C47" s="6"/>
      <c r="D47" s="6"/>
    </row>
    <row r="48" spans="1:4" ht="23" customHeight="1">
      <c r="A48" s="6"/>
      <c r="B48" s="6"/>
      <c r="C48" s="6"/>
      <c r="D48" s="6"/>
    </row>
    <row r="49" spans="1:4" ht="23" customHeight="1">
      <c r="A49" s="6"/>
      <c r="B49" s="6"/>
      <c r="C49" s="6"/>
      <c r="D49" s="6"/>
    </row>
    <row r="50" spans="1:4" ht="23" customHeight="1">
      <c r="A50" s="6"/>
      <c r="B50" s="6"/>
      <c r="C50" s="6"/>
      <c r="D50" s="6"/>
    </row>
    <row r="51" spans="1:4" ht="23" customHeight="1">
      <c r="A51" s="6"/>
      <c r="B51" s="6"/>
      <c r="C51" s="6"/>
      <c r="D51" s="6"/>
    </row>
    <row r="52" spans="1:4" ht="23" customHeight="1">
      <c r="A52" s="6"/>
      <c r="B52" s="6"/>
      <c r="C52" s="6"/>
      <c r="D52" s="6"/>
    </row>
    <row r="53" spans="1:4" ht="23" customHeight="1">
      <c r="A53" s="6"/>
      <c r="B53" s="6"/>
      <c r="C53" s="6"/>
      <c r="D53" s="6"/>
    </row>
    <row r="54" spans="1:4" ht="23" customHeight="1">
      <c r="A54" s="6"/>
      <c r="B54" s="6"/>
      <c r="C54" s="6"/>
      <c r="D54" s="6"/>
    </row>
    <row r="55" spans="1:4" ht="23" customHeight="1">
      <c r="A55" s="6"/>
      <c r="B55" s="6"/>
      <c r="C55" s="6"/>
      <c r="D55" s="6"/>
    </row>
    <row r="56" spans="1:4" ht="23" customHeight="1">
      <c r="A56" s="6"/>
      <c r="B56" s="6"/>
      <c r="C56" s="6"/>
      <c r="D56" s="6"/>
    </row>
    <row r="57" spans="1:4" ht="23" customHeight="1">
      <c r="A57" s="6"/>
      <c r="B57" s="6"/>
      <c r="C57" s="6"/>
      <c r="D57" s="6"/>
    </row>
    <row r="58" spans="1:4" ht="23" customHeight="1">
      <c r="A58" s="6"/>
      <c r="B58" s="6"/>
      <c r="C58" s="6"/>
      <c r="D58" s="6"/>
    </row>
    <row r="59" spans="1:4" ht="23" customHeight="1">
      <c r="A59" s="6"/>
      <c r="B59" s="6"/>
      <c r="C59" s="6"/>
      <c r="D59" s="6"/>
    </row>
    <row r="60" spans="1:4" ht="23" customHeight="1">
      <c r="A60" s="6"/>
      <c r="B60" s="6"/>
      <c r="C60" s="6"/>
      <c r="D60" s="6"/>
    </row>
    <row r="61" spans="1:4" ht="23" customHeight="1">
      <c r="A61" s="6"/>
      <c r="B61" s="6"/>
      <c r="C61" s="6"/>
      <c r="D61" s="6"/>
    </row>
    <row r="62" spans="1:4" ht="23" customHeight="1">
      <c r="A62" s="6"/>
      <c r="B62" s="6"/>
      <c r="C62" s="6"/>
      <c r="D62" s="6"/>
    </row>
    <row r="63" spans="1:4" ht="23" customHeight="1">
      <c r="A63" s="6"/>
      <c r="B63" s="6"/>
      <c r="C63" s="6"/>
      <c r="D63" s="6"/>
    </row>
    <row r="64" spans="1:4" ht="23" customHeight="1">
      <c r="A64" s="6"/>
      <c r="B64" s="6"/>
      <c r="C64" s="6"/>
      <c r="D64" s="6"/>
    </row>
    <row r="65" spans="1:4" ht="23" customHeight="1">
      <c r="A65" s="6"/>
      <c r="B65" s="6"/>
      <c r="C65" s="6"/>
      <c r="D65" s="6"/>
    </row>
    <row r="66" spans="1:4" ht="23" customHeight="1">
      <c r="A66" s="6"/>
      <c r="B66" s="6"/>
      <c r="C66" s="6"/>
      <c r="D66" s="6"/>
    </row>
    <row r="67" spans="1:4" ht="23" customHeight="1">
      <c r="A67" s="6"/>
      <c r="B67" s="6"/>
      <c r="C67" s="6"/>
      <c r="D67" s="6"/>
    </row>
    <row r="68" spans="1:4" ht="23" customHeight="1">
      <c r="A68" s="6"/>
      <c r="B68" s="6"/>
      <c r="C68" s="6"/>
      <c r="D68" s="6"/>
    </row>
    <row r="69" spans="1:4" ht="23" customHeight="1">
      <c r="A69" s="6"/>
      <c r="B69" s="6"/>
      <c r="C69" s="6"/>
      <c r="D69" s="6"/>
    </row>
    <row r="70" spans="1:4" ht="23" customHeight="1">
      <c r="A70" s="6"/>
      <c r="B70" s="6"/>
      <c r="C70" s="6"/>
      <c r="D70" s="6"/>
    </row>
    <row r="71" spans="1:4" ht="23" customHeight="1">
      <c r="A71" s="6"/>
      <c r="B71" s="6"/>
      <c r="C71" s="6"/>
      <c r="D71" s="6"/>
    </row>
    <row r="72" spans="1:4" ht="23" customHeight="1">
      <c r="A72" s="6"/>
      <c r="B72" s="6"/>
      <c r="C72" s="6"/>
      <c r="D72" s="6"/>
    </row>
    <row r="73" spans="1:4" ht="23" customHeight="1">
      <c r="A73" s="6"/>
      <c r="B73" s="6"/>
      <c r="C73" s="6"/>
      <c r="D73" s="6"/>
    </row>
    <row r="74" spans="1:4" ht="23" customHeight="1">
      <c r="A74" s="6"/>
      <c r="B74" s="6"/>
      <c r="C74" s="6"/>
      <c r="D74" s="6"/>
    </row>
    <row r="75" spans="1:4" ht="23" customHeight="1">
      <c r="A75" s="6"/>
      <c r="B75" s="6"/>
      <c r="C75" s="6"/>
      <c r="D75" s="6"/>
    </row>
    <row r="76" spans="1:4" ht="23" customHeight="1">
      <c r="A76" s="6"/>
      <c r="B76" s="6"/>
      <c r="C76" s="6"/>
      <c r="D76" s="6"/>
    </row>
    <row r="77" spans="1:4" ht="23" customHeight="1">
      <c r="A77" s="6"/>
      <c r="B77" s="6"/>
      <c r="C77" s="6"/>
      <c r="D77" s="6"/>
    </row>
    <row r="78" spans="1:4" ht="23" customHeight="1">
      <c r="A78" s="6"/>
      <c r="B78" s="6"/>
      <c r="C78" s="6"/>
      <c r="D78" s="6"/>
    </row>
    <row r="79" spans="1:4" ht="23" customHeight="1">
      <c r="A79" s="6"/>
      <c r="B79" s="6"/>
      <c r="C79" s="6"/>
      <c r="D79" s="6"/>
    </row>
    <row r="80" spans="1:4" ht="23" customHeight="1">
      <c r="A80" s="6"/>
      <c r="B80" s="6"/>
      <c r="C80" s="6"/>
      <c r="D80" s="6"/>
    </row>
    <row r="81" spans="1:4" ht="23" customHeight="1">
      <c r="A81" s="6"/>
      <c r="B81" s="6"/>
      <c r="C81" s="6"/>
      <c r="D81" s="6"/>
    </row>
    <row r="82" spans="1:4" ht="23" customHeight="1">
      <c r="A82" s="6"/>
      <c r="B82" s="6"/>
      <c r="C82" s="6"/>
      <c r="D82" s="6"/>
    </row>
    <row r="83" spans="1:4" ht="23" customHeight="1">
      <c r="A83" s="6"/>
      <c r="B83" s="6"/>
      <c r="C83" s="6"/>
      <c r="D83" s="6"/>
    </row>
    <row r="84" spans="1:4" ht="23" customHeight="1">
      <c r="A84" s="6"/>
      <c r="B84" s="6"/>
      <c r="C84" s="6"/>
      <c r="D84" s="6"/>
    </row>
    <row r="85" spans="1:4" ht="23" customHeight="1">
      <c r="A85" s="6"/>
      <c r="B85" s="6"/>
      <c r="C85" s="6"/>
      <c r="D85" s="6"/>
    </row>
    <row r="86" spans="1:4" ht="23" customHeight="1">
      <c r="A86" s="6"/>
      <c r="B86" s="6"/>
      <c r="C86" s="6"/>
      <c r="D86" s="6"/>
    </row>
    <row r="87" spans="1:4" ht="23" customHeight="1">
      <c r="A87" s="6"/>
      <c r="B87" s="6"/>
      <c r="C87" s="6"/>
      <c r="D87" s="6"/>
    </row>
    <row r="88" spans="1:4" ht="23" customHeight="1">
      <c r="A88" s="6"/>
      <c r="B88" s="6"/>
      <c r="C88" s="6"/>
      <c r="D88" s="6"/>
    </row>
    <row r="89" spans="1:4" ht="23" customHeight="1">
      <c r="A89" s="6"/>
      <c r="B89" s="6"/>
      <c r="C89" s="6"/>
      <c r="D89" s="6"/>
    </row>
    <row r="90" spans="1:4" ht="23" customHeight="1">
      <c r="A90" s="6"/>
      <c r="B90" s="6"/>
      <c r="C90" s="6"/>
      <c r="D90" s="6"/>
    </row>
    <row r="91" spans="1:4" ht="23" customHeight="1">
      <c r="A91" s="6"/>
      <c r="B91" s="6"/>
      <c r="C91" s="6"/>
      <c r="D91" s="6"/>
    </row>
    <row r="92" spans="1:4" ht="23" customHeight="1">
      <c r="A92" s="6"/>
      <c r="B92" s="6"/>
      <c r="C92" s="6"/>
      <c r="D92" s="6"/>
    </row>
    <row r="93" spans="1:4" ht="23" customHeight="1">
      <c r="A93" s="6"/>
      <c r="B93" s="6"/>
      <c r="C93" s="6"/>
      <c r="D93" s="6"/>
    </row>
    <row r="94" spans="1:4" ht="23" customHeight="1">
      <c r="A94" s="6"/>
      <c r="B94" s="6"/>
      <c r="C94" s="6"/>
      <c r="D94" s="6"/>
    </row>
    <row r="95" spans="1:4" ht="23" customHeight="1">
      <c r="A95" s="6"/>
      <c r="B95" s="6"/>
      <c r="C95" s="6"/>
      <c r="D95" s="6"/>
    </row>
    <row r="96" spans="1:4" ht="23" customHeight="1">
      <c r="A96" s="6"/>
      <c r="B96" s="6"/>
      <c r="C96" s="6"/>
      <c r="D96" s="6"/>
    </row>
    <row r="97" spans="1:4" ht="23" customHeight="1">
      <c r="A97" s="6"/>
      <c r="B97" s="6"/>
      <c r="C97" s="6"/>
      <c r="D97" s="6"/>
    </row>
    <row r="98" spans="1:4" ht="23" customHeight="1">
      <c r="A98" s="6"/>
      <c r="B98" s="6"/>
      <c r="C98" s="6"/>
      <c r="D98" s="6"/>
    </row>
    <row r="99" spans="1:4" ht="23" customHeight="1">
      <c r="A99" s="6"/>
      <c r="B99" s="6"/>
      <c r="C99" s="6"/>
      <c r="D99" s="6"/>
    </row>
    <row r="100" spans="1:4" ht="23" customHeight="1">
      <c r="A100" s="6"/>
      <c r="B100" s="6"/>
      <c r="C100" s="6"/>
      <c r="D100" s="6"/>
    </row>
    <row r="101" spans="1:4" ht="23" customHeight="1">
      <c r="A101" s="6"/>
      <c r="B101" s="6"/>
      <c r="C101" s="6"/>
      <c r="D101" s="6"/>
    </row>
    <row r="102" spans="1:4" ht="23" customHeight="1">
      <c r="A102" s="6"/>
      <c r="B102" s="6"/>
      <c r="C102" s="6"/>
      <c r="D102" s="6"/>
    </row>
    <row r="103" spans="1:4" ht="23" customHeight="1">
      <c r="A103" s="6"/>
      <c r="B103" s="6"/>
      <c r="C103" s="6"/>
      <c r="D103" s="6"/>
    </row>
    <row r="104" spans="1:4" ht="23" customHeight="1">
      <c r="A104" s="6"/>
      <c r="B104" s="6"/>
      <c r="C104" s="6"/>
      <c r="D104" s="6"/>
    </row>
    <row r="105" spans="1:4" ht="23" customHeight="1">
      <c r="A105" s="6"/>
      <c r="B105" s="6"/>
      <c r="C105" s="6"/>
      <c r="D105" s="6"/>
    </row>
    <row r="106" spans="1:4" ht="23" customHeight="1">
      <c r="A106" s="6"/>
      <c r="B106" s="6"/>
      <c r="C106" s="6"/>
      <c r="D106" s="6"/>
    </row>
    <row r="107" spans="1:4" ht="23" customHeight="1">
      <c r="A107" s="6"/>
      <c r="B107" s="6"/>
      <c r="C107" s="6"/>
      <c r="D107" s="6"/>
    </row>
    <row r="108" spans="1:4" ht="23" customHeight="1">
      <c r="A108" s="6"/>
      <c r="B108" s="6"/>
      <c r="C108" s="6"/>
      <c r="D108" s="6"/>
    </row>
    <row r="109" spans="1:4" ht="23" customHeight="1">
      <c r="A109" s="6"/>
      <c r="B109" s="6"/>
      <c r="C109" s="6"/>
      <c r="D109" s="6"/>
    </row>
    <row r="110" spans="1:4" ht="23" customHeight="1">
      <c r="A110" s="6"/>
      <c r="B110" s="6"/>
      <c r="C110" s="6"/>
      <c r="D110" s="6"/>
    </row>
    <row r="111" spans="1:4" ht="23" customHeight="1">
      <c r="A111" s="6"/>
      <c r="B111" s="6"/>
      <c r="C111" s="6"/>
      <c r="D111" s="6"/>
    </row>
    <row r="112" spans="1:4" ht="23" customHeight="1">
      <c r="A112" s="6"/>
      <c r="B112" s="6"/>
      <c r="C112" s="6"/>
      <c r="D112" s="6"/>
    </row>
    <row r="113" spans="1:4" ht="23" customHeight="1">
      <c r="A113" s="6"/>
      <c r="B113" s="6"/>
      <c r="C113" s="6"/>
      <c r="D113" s="6"/>
    </row>
    <row r="114" spans="1:4" ht="23" customHeight="1">
      <c r="A114" s="6"/>
      <c r="B114" s="6"/>
      <c r="C114" s="6"/>
      <c r="D114" s="6"/>
    </row>
    <row r="115" spans="1:4" ht="23" customHeight="1">
      <c r="A115" s="6"/>
      <c r="B115" s="6"/>
      <c r="C115" s="6"/>
      <c r="D115" s="6"/>
    </row>
    <row r="116" spans="1:4" ht="23" customHeight="1">
      <c r="A116" s="6"/>
      <c r="B116" s="6"/>
      <c r="C116" s="6"/>
      <c r="D116" s="6"/>
    </row>
    <row r="117" spans="1:4" ht="23" customHeight="1">
      <c r="A117" s="6"/>
      <c r="B117" s="6"/>
      <c r="C117" s="6"/>
      <c r="D117" s="6"/>
    </row>
    <row r="118" spans="1:4" ht="23" customHeight="1">
      <c r="A118" s="6"/>
      <c r="B118" s="6"/>
      <c r="C118" s="6"/>
      <c r="D118" s="6"/>
    </row>
    <row r="119" spans="1:4" ht="23" customHeight="1">
      <c r="A119" s="6"/>
      <c r="B119" s="6"/>
      <c r="C119" s="6"/>
      <c r="D119" s="6"/>
    </row>
    <row r="120" spans="1:4" ht="23" customHeight="1">
      <c r="A120" s="6"/>
      <c r="B120" s="6"/>
      <c r="C120" s="6"/>
      <c r="D120" s="6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P&amp;L</vt:lpstr>
      <vt:lpstr>Balance Sheet</vt:lpstr>
      <vt:lpstr>Indirect CF</vt:lpstr>
      <vt:lpstr>Direct 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angeles barrios</cp:lastModifiedBy>
  <dcterms:created xsi:type="dcterms:W3CDTF">2026-07-22T14:35:10Z</dcterms:created>
  <dcterms:modified xsi:type="dcterms:W3CDTF">2026-07-22T14:35:10Z</dcterms:modified>
</cp:coreProperties>
</file>