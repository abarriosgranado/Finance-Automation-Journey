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geles/Desktop/"/>
    </mc:Choice>
  </mc:AlternateContent>
  <xr:revisionPtr revIDLastSave="0" documentId="8_{E11BE536-96FF-354E-877A-869F441B3329}" xr6:coauthVersionLast="47" xr6:coauthVersionMax="47" xr10:uidLastSave="{00000000-0000-0000-0000-000000000000}"/>
  <bookViews>
    <workbookView xWindow="0" yWindow="680" windowWidth="34200" windowHeight="19660" xr2:uid="{00000000-000D-0000-FFFF-FFFF00000000}"/>
  </bookViews>
  <sheets>
    <sheet name="Summary" sheetId="1" r:id="rId1"/>
    <sheet name="P&amp;L" sheetId="2" r:id="rId2"/>
    <sheet name="Balance Sheet" sheetId="3" r:id="rId3"/>
    <sheet name="Cash Flow - Direct" sheetId="4" r:id="rId4"/>
    <sheet name="Cash Flow - Indirect" sheetId="5" r:id="rId5"/>
    <sheet name="Source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5" l="1"/>
  <c r="B35" i="5"/>
  <c r="B27" i="5"/>
  <c r="B30" i="5" s="1"/>
  <c r="B25" i="5"/>
  <c r="B15" i="5"/>
  <c r="B14" i="5"/>
  <c r="B18" i="5" s="1"/>
  <c r="B10" i="5"/>
  <c r="B9" i="5"/>
  <c r="B8" i="5"/>
  <c r="B7" i="5"/>
  <c r="B28" i="4"/>
  <c r="B26" i="4"/>
  <c r="B18" i="4"/>
  <c r="B21" i="4" s="1"/>
  <c r="B16" i="4"/>
  <c r="B6" i="4"/>
  <c r="B56" i="3"/>
  <c r="B40" i="3"/>
  <c r="B8" i="2"/>
  <c r="B11" i="2" s="1"/>
  <c r="B13" i="2" s="1"/>
  <c r="B17" i="2" s="1"/>
  <c r="B19" i="2" s="1"/>
  <c r="B6" i="5" s="1"/>
  <c r="B12" i="5" s="1"/>
  <c r="B19" i="5" s="1"/>
  <c r="B32" i="5" l="1"/>
  <c r="B34" i="5" s="1"/>
  <c r="B36" i="5" s="1"/>
  <c r="B38" i="5" s="1"/>
  <c r="B7" i="4"/>
  <c r="B8" i="4" s="1"/>
  <c r="B10" i="4" s="1"/>
  <c r="B23" i="4" l="1"/>
  <c r="B25" i="4" s="1"/>
  <c r="B27" i="4" s="1"/>
  <c r="B29" i="4" s="1"/>
  <c r="B30" i="4"/>
</calcChain>
</file>

<file path=xl/sharedStrings.xml><?xml version="1.0" encoding="utf-8"?>
<sst xmlns="http://schemas.openxmlformats.org/spreadsheetml/2006/main" count="244" uniqueCount="133">
  <si>
    <t>Inditex - Consolidated P&amp;L and Balance Sheet</t>
  </si>
  <si>
    <t>Company</t>
  </si>
  <si>
    <t>Industria de Diseno Textil, S.A. (Inditex)</t>
  </si>
  <si>
    <t>Index</t>
  </si>
  <si>
    <t>IBEX 35</t>
  </si>
  <si>
    <t>Fiscal year</t>
  </si>
  <si>
    <t>2025</t>
  </si>
  <si>
    <t>Closing date</t>
  </si>
  <si>
    <t>31/01/2026</t>
  </si>
  <si>
    <t>Currency / units</t>
  </si>
  <si>
    <t>EUR millions</t>
  </si>
  <si>
    <t>Source</t>
  </si>
  <si>
    <t>Consolidated annual accounts 2025; see Sources sheet</t>
  </si>
  <si>
    <t>This workbook summarizes Inditex's published consolidated P&amp;L and balance sheet for fiscal year 2025. Figures are historical reported values, not projections.</t>
  </si>
  <si>
    <t>Consolidated P&amp;L - Inditex</t>
  </si>
  <si>
    <t>Fiscal year 2025. Figures in EUR millions. Source: Inditex consolidated annual accounts 2025.</t>
  </si>
  <si>
    <t>Line item</t>
  </si>
  <si>
    <t>Net sales</t>
  </si>
  <si>
    <t>Cost of sales</t>
  </si>
  <si>
    <t>Gross profit</t>
  </si>
  <si>
    <t>Operating expenses</t>
  </si>
  <si>
    <t>Other net income / expenses</t>
  </si>
  <si>
    <t>EBITDA</t>
  </si>
  <si>
    <t>Depreciation and amortization</t>
  </si>
  <si>
    <t>EBIT</t>
  </si>
  <si>
    <t>Financial result</t>
  </si>
  <si>
    <t>Share of profit from equity-accounted companies</t>
  </si>
  <si>
    <t>Rounding adjustment to published EURm figures</t>
  </si>
  <si>
    <t>Profit before tax</t>
  </si>
  <si>
    <t>Income tax</t>
  </si>
  <si>
    <t>Net income</t>
  </si>
  <si>
    <t>Net income attributable to the parent</t>
  </si>
  <si>
    <t>See Sources sheet</t>
  </si>
  <si>
    <t>Consolidated Balance Sheet - Inditex</t>
  </si>
  <si>
    <t>Comparative balance sheet as of 31/01/2026 and 31/01/2025. Figures in EUR millions. Source: Inditex consolidated annual accounts 2025.</t>
  </si>
  <si>
    <t>Assets</t>
  </si>
  <si>
    <t>2024</t>
  </si>
  <si>
    <t>Non-current assets</t>
  </si>
  <si>
    <t>Right-of-use assets</t>
  </si>
  <si>
    <t>Other intangible assets</t>
  </si>
  <si>
    <t>Goodwill</t>
  </si>
  <si>
    <t>Property, plant and equipment</t>
  </si>
  <si>
    <t>Investment property</t>
  </si>
  <si>
    <t>Financial investments</t>
  </si>
  <si>
    <t>Other non-current assets</t>
  </si>
  <si>
    <t>Deferred tax assets</t>
  </si>
  <si>
    <t>Current assets</t>
  </si>
  <si>
    <t>Inventories</t>
  </si>
  <si>
    <t>Trade and other receivables</t>
  </si>
  <si>
    <t>Income tax receivable</t>
  </si>
  <si>
    <t>Other current assets</t>
  </si>
  <si>
    <t>Other financial assets</t>
  </si>
  <si>
    <t>Current financial investments</t>
  </si>
  <si>
    <t>Cash and cash equivalents</t>
  </si>
  <si>
    <t>Total assets</t>
  </si>
  <si>
    <t>Equity and liabilities</t>
  </si>
  <si>
    <t>Equity</t>
  </si>
  <si>
    <t>Equity attributable to the parent</t>
  </si>
  <si>
    <t>Non-controlling interests</t>
  </si>
  <si>
    <t>Equity detail</t>
  </si>
  <si>
    <t>Share capital</t>
  </si>
  <si>
    <t>Share premium</t>
  </si>
  <si>
    <t>Retained earnings</t>
  </si>
  <si>
    <t>Profit for the year</t>
  </si>
  <si>
    <t>Other reserves</t>
  </si>
  <si>
    <t>Reserves of equity-accounted companies</t>
  </si>
  <si>
    <t>Treasury shares</t>
  </si>
  <si>
    <t>Translation differences</t>
  </si>
  <si>
    <t>Cash flow hedges</t>
  </si>
  <si>
    <t>Equity detail check</t>
  </si>
  <si>
    <t>Liabilities</t>
  </si>
  <si>
    <t>Non-current liabilities</t>
  </si>
  <si>
    <t>Provisions</t>
  </si>
  <si>
    <t>Other non-current liabilities</t>
  </si>
  <si>
    <t>Financial debt</t>
  </si>
  <si>
    <t>Non-current lease liabilities</t>
  </si>
  <si>
    <t>Deferred tax liabilities</t>
  </si>
  <si>
    <t>Current liabilities</t>
  </si>
  <si>
    <t>Other financial liabilities</t>
  </si>
  <si>
    <t>Current lease liabilities</t>
  </si>
  <si>
    <t>Current income tax payable</t>
  </si>
  <si>
    <t>Trade and other payables</t>
  </si>
  <si>
    <t>Total equity and liabilities</t>
  </si>
  <si>
    <t>Balance check</t>
  </si>
  <si>
    <t>Calculated Cash Flow - Direct Method</t>
  </si>
  <si>
    <t>Formula-driven full cash flow statement. Direct operating cash flows reconcile to CFO, then to ending cash through investing, financing and FX.</t>
  </si>
  <si>
    <t>Cash receipts from customers</t>
  </si>
  <si>
    <t>Cash paid to suppliers/vendors and operating expenses</t>
  </si>
  <si>
    <t>Cash generated from operations before tax</t>
  </si>
  <si>
    <t>Income taxes paid</t>
  </si>
  <si>
    <t>Net cash from operating activities</t>
  </si>
  <si>
    <t>Purchases of PPE and intangible assets</t>
  </si>
  <si>
    <t>Investments in companies</t>
  </si>
  <si>
    <t>Other investing items</t>
  </si>
  <si>
    <t>Change in current financial investments</t>
  </si>
  <si>
    <t>Net cash used in investing activities</t>
  </si>
  <si>
    <t>Change in short-term borrowings</t>
  </si>
  <si>
    <t>Lease principal payments</t>
  </si>
  <si>
    <t>Dividends paid</t>
  </si>
  <si>
    <t>Net cash used in financing activities</t>
  </si>
  <si>
    <t>Net change in cash before FX</t>
  </si>
  <si>
    <t>FX / other cash movement</t>
  </si>
  <si>
    <t>Net change in cash</t>
  </si>
  <si>
    <t>Opening cash and cash equivalents</t>
  </si>
  <si>
    <t>Cash and cash equivalents at end of period</t>
  </si>
  <si>
    <t>Reported closing cash and cash equivalents</t>
  </si>
  <si>
    <t>Cash flow check</t>
  </si>
  <si>
    <t>Direct vs indirect CFO check</t>
  </si>
  <si>
    <t>Note: The supplier/vendor and operating payment line is calculated as the residual operating cash payment after customer receipts and taxes, because the published summary accounts do not disclose every transactional operating cash payment separately.</t>
  </si>
  <si>
    <t>Source: See Sources sheet</t>
  </si>
  <si>
    <t>Calculated Cash Flow - Indirect Method</t>
  </si>
  <si>
    <t>Formula-driven full indirect cash flow statement. Closing cash is reconciled to the balance sheet.</t>
  </si>
  <si>
    <t>Financial result add-back</t>
  </si>
  <si>
    <t>Income tax expense add-back</t>
  </si>
  <si>
    <t>Other operating adjustments</t>
  </si>
  <si>
    <t>Operating cash flow before tax and working capital</t>
  </si>
  <si>
    <t>Change in inventories</t>
  </si>
  <si>
    <t>Change in trade and other receivables</t>
  </si>
  <si>
    <t>Change in other current assets</t>
  </si>
  <si>
    <t>Change in trade and other payables</t>
  </si>
  <si>
    <t>Change in working capital</t>
  </si>
  <si>
    <t>Calculated closing cash and cash equivalents</t>
  </si>
  <si>
    <t>Note: Certain investing and financing lines are shown directly in this statement because they cannot be derived cleanly from a summarized balance sheet alone.</t>
  </si>
  <si>
    <t>Sources and Audit Notes</t>
  </si>
  <si>
    <t>Item</t>
  </si>
  <si>
    <t>Period / date</t>
  </si>
  <si>
    <t>Notes</t>
  </si>
  <si>
    <t>Consolidated P&amp;L</t>
  </si>
  <si>
    <t>https://www.inditex.com/itxcomweb/api/media/50ba1fc0-3862-4408-8da2-4f973f1be18e/AnnualAccountsDirectorsReportandAuditReportconsolidated.pdf?t=1773650991401</t>
  </si>
  <si>
    <t>Amounts reported by Inditex in EUR millions.</t>
  </si>
  <si>
    <t>Balance sheet and cash flow statement</t>
  </si>
  <si>
    <t>2025 and 2024</t>
  </si>
  <si>
    <t>Used for balance sheet, working capital movements, investing, financing, FX and ending cash reconciliation.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</si>
</sst>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0"/>
  </numFmts>
  <fonts count="11">
    <font>
      <sz val="11"/>
      <name val="Carlito"/>
    </font>
    <font>
      <b/>
      <sz val="20"/>
      <color rgb="FFFFFFFF"/>
      <name val="Aptos"/>
    </font>
    <font>
      <sz val="11"/>
      <name val="Aptos"/>
    </font>
    <font>
      <b/>
      <sz val="11"/>
      <name val="Aptos"/>
    </font>
    <font>
      <sz val="13"/>
      <color rgb="FF4F5B62"/>
      <name val="Aptos"/>
    </font>
    <font>
      <sz val="14"/>
      <name val="Aptos"/>
    </font>
    <font>
      <b/>
      <sz val="14"/>
      <name val="Aptos"/>
    </font>
    <font>
      <b/>
      <sz val="13"/>
      <name val="Aptos"/>
    </font>
    <font>
      <sz val="13"/>
      <name val="Aptos"/>
    </font>
    <font>
      <b/>
      <sz val="14"/>
      <color rgb="FF008000"/>
      <name val="Aptos"/>
    </font>
    <font>
      <sz val="14"/>
      <color rgb="FF008000"/>
      <name val="Aptos"/>
    </font>
  </fonts>
  <fills count="8">
    <fill>
      <patternFill patternType="none"/>
    </fill>
    <fill>
      <patternFill patternType="gray125"/>
    </fill>
    <fill>
      <patternFill patternType="solid">
        <fgColor rgb="FF1F4E78"/>
      </patternFill>
    </fill>
    <fill>
      <patternFill patternType="solid">
        <fgColor rgb="FFEEF5FB"/>
      </patternFill>
    </fill>
    <fill>
      <patternFill patternType="solid">
        <fgColor rgb="FFD9EAF7"/>
      </patternFill>
    </fill>
    <fill>
      <patternFill patternType="solid">
        <fgColor rgb="FFE2F0D9"/>
      </patternFill>
    </fill>
    <fill>
      <patternFill patternType="solid">
        <fgColor rgb="FFF3F6F8"/>
      </patternFill>
    </fill>
    <fill>
      <patternFill patternType="solid">
        <fgColor rgb="FFFFFFFF"/>
      </patternFill>
    </fill>
  </fills>
  <borders count="17">
    <border>
      <left/>
      <right/>
      <top/>
      <bottom/>
      <diagonal/>
    </border>
    <border>
      <left style="thin">
        <color rgb="FFB7C9D6"/>
      </left>
      <right style="thin">
        <color rgb="FFE1E8ED"/>
      </right>
      <top style="thin">
        <color rgb="FFB7C9D6"/>
      </top>
      <bottom style="thin">
        <color rgb="FFE1E8ED"/>
      </bottom>
      <diagonal/>
    </border>
    <border>
      <left style="thin">
        <color rgb="FFE1E8ED"/>
      </left>
      <right style="thin">
        <color rgb="FFB7C9D6"/>
      </right>
      <top style="thin">
        <color rgb="FFB7C9D6"/>
      </top>
      <bottom style="thin">
        <color rgb="FFE1E8ED"/>
      </bottom>
      <diagonal/>
    </border>
    <border>
      <left style="thin">
        <color rgb="FFB7C9D6"/>
      </left>
      <right style="thin">
        <color rgb="FFE1E8ED"/>
      </right>
      <top style="thin">
        <color rgb="FFE1E8ED"/>
      </top>
      <bottom style="thin">
        <color rgb="FFE1E8ED"/>
      </bottom>
      <diagonal/>
    </border>
    <border>
      <left style="thin">
        <color rgb="FFE1E8ED"/>
      </left>
      <right style="thin">
        <color rgb="FFB7C9D6"/>
      </right>
      <top style="thin">
        <color rgb="FFE1E8ED"/>
      </top>
      <bottom style="thin">
        <color rgb="FFE1E8ED"/>
      </bottom>
      <diagonal/>
    </border>
    <border>
      <left style="thin">
        <color rgb="FFB7C9D6"/>
      </left>
      <right style="thin">
        <color rgb="FFE1E8ED"/>
      </right>
      <top style="thin">
        <color rgb="FFE1E8ED"/>
      </top>
      <bottom style="thin">
        <color rgb="FFB7C9D6"/>
      </bottom>
      <diagonal/>
    </border>
    <border>
      <left style="thin">
        <color rgb="FFE1E8ED"/>
      </left>
      <right style="thin">
        <color rgb="FFB7C9D6"/>
      </right>
      <top style="thin">
        <color rgb="FFE1E8ED"/>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
      <left/>
      <right/>
      <top/>
      <bottom style="thin">
        <color rgb="FFE1E8ED"/>
      </bottom>
      <diagonal/>
    </border>
    <border>
      <left/>
      <right/>
      <top style="thin">
        <color rgb="FFE1E8ED"/>
      </top>
      <bottom style="thin">
        <color rgb="FFE1E8ED"/>
      </bottom>
      <diagonal/>
    </border>
    <border>
      <left style="thin">
        <color rgb="FF7FA66A"/>
      </left>
      <right/>
      <top style="thin">
        <color rgb="FF7FA66A"/>
      </top>
      <bottom style="thin">
        <color rgb="FF7FA66A"/>
      </bottom>
      <diagonal/>
    </border>
    <border>
      <left/>
      <right style="thin">
        <color rgb="FF7FA66A"/>
      </right>
      <top style="thin">
        <color rgb="FF7FA66A"/>
      </top>
      <bottom style="thin">
        <color rgb="FF7FA66A"/>
      </bottom>
      <diagonal/>
    </border>
    <border>
      <left/>
      <right/>
      <top style="thin">
        <color rgb="FFB7C9D6"/>
      </top>
      <bottom style="thin">
        <color rgb="FFB7C9D6"/>
      </bottom>
      <diagonal/>
    </border>
    <border>
      <left style="thin">
        <color rgb="FFFFFFFF"/>
      </left>
      <right style="thin">
        <color rgb="FFFFFFFF"/>
      </right>
      <top style="thin">
        <color rgb="FFFFFFFF"/>
      </top>
      <bottom style="thin">
        <color rgb="FFFFFFFF"/>
      </bottom>
      <diagonal/>
    </border>
    <border>
      <left style="thin">
        <color rgb="FF7FA66A"/>
      </left>
      <right style="thin">
        <color rgb="FF7FA66A"/>
      </right>
      <top style="thin">
        <color rgb="FF7FA66A"/>
      </top>
      <bottom style="thin">
        <color rgb="FF7FA66A"/>
      </bottom>
      <diagonal/>
    </border>
    <border>
      <left style="thin">
        <color rgb="FFE1E8ED"/>
      </left>
      <right style="thin">
        <color rgb="FFE1E8ED"/>
      </right>
      <top style="thin">
        <color rgb="FFE1E8ED"/>
      </top>
      <bottom style="thin">
        <color rgb="FFE1E8ED"/>
      </bottom>
      <diagonal/>
    </border>
  </borders>
  <cellStyleXfs count="1">
    <xf numFmtId="0" fontId="0" fillId="0" borderId="0"/>
  </cellStyleXfs>
  <cellXfs count="41">
    <xf numFmtId="0" fontId="0" fillId="0" borderId="0" xfId="0"/>
    <xf numFmtId="0" fontId="2" fillId="0" borderId="0" xfId="0" applyFont="1"/>
    <xf numFmtId="0" fontId="3" fillId="0" borderId="1" xfId="0" applyFont="1" applyBorder="1"/>
    <xf numFmtId="0" fontId="2" fillId="0" borderId="2" xfId="0" applyFont="1" applyBorder="1"/>
    <xf numFmtId="0" fontId="3" fillId="0" borderId="3" xfId="0" applyFont="1" applyBorder="1"/>
    <xf numFmtId="0" fontId="2" fillId="0" borderId="4" xfId="0" applyFont="1" applyBorder="1"/>
    <xf numFmtId="0" fontId="3" fillId="0" borderId="5" xfId="0" applyFont="1" applyBorder="1"/>
    <xf numFmtId="0" fontId="2" fillId="0" borderId="6" xfId="0" applyFont="1" applyBorder="1"/>
    <xf numFmtId="0" fontId="3" fillId="4" borderId="7" xfId="0" applyFont="1" applyFill="1" applyBorder="1"/>
    <xf numFmtId="0" fontId="3" fillId="4" borderId="8" xfId="0" applyFont="1" applyFill="1" applyBorder="1"/>
    <xf numFmtId="0" fontId="5" fillId="0" borderId="9" xfId="0" applyFont="1" applyBorder="1" applyAlignment="1">
      <alignment vertical="center"/>
    </xf>
    <xf numFmtId="164" fontId="5" fillId="0" borderId="9" xfId="0" applyNumberFormat="1" applyFont="1" applyBorder="1" applyAlignment="1">
      <alignment vertical="center"/>
    </xf>
    <xf numFmtId="0" fontId="5" fillId="0" borderId="10" xfId="0" applyFont="1" applyBorder="1" applyAlignment="1">
      <alignment vertical="center"/>
    </xf>
    <xf numFmtId="164" fontId="5" fillId="0" borderId="10" xfId="0" applyNumberFormat="1" applyFont="1" applyBorder="1" applyAlignment="1">
      <alignment vertical="center"/>
    </xf>
    <xf numFmtId="0" fontId="6" fillId="5" borderId="11" xfId="0" applyFont="1" applyFill="1" applyBorder="1" applyAlignment="1">
      <alignment vertical="center"/>
    </xf>
    <xf numFmtId="164" fontId="6" fillId="5" borderId="12" xfId="0" applyNumberFormat="1" applyFont="1" applyFill="1" applyBorder="1" applyAlignment="1">
      <alignment vertical="center"/>
    </xf>
    <xf numFmtId="0" fontId="7" fillId="0" borderId="0" xfId="0" applyFont="1"/>
    <xf numFmtId="0" fontId="8" fillId="0" borderId="0" xfId="0" applyFont="1" applyAlignment="1">
      <alignment wrapText="1"/>
    </xf>
    <xf numFmtId="0" fontId="3" fillId="4" borderId="13" xfId="0" applyFont="1" applyFill="1" applyBorder="1"/>
    <xf numFmtId="0" fontId="3" fillId="7" borderId="14" xfId="0" applyFont="1" applyFill="1" applyBorder="1"/>
    <xf numFmtId="164" fontId="5" fillId="7" borderId="14" xfId="0" applyNumberFormat="1" applyFont="1" applyFill="1" applyBorder="1" applyAlignment="1">
      <alignment vertical="center"/>
    </xf>
    <xf numFmtId="164" fontId="6" fillId="5" borderId="15" xfId="0" applyNumberFormat="1" applyFont="1" applyFill="1" applyBorder="1" applyAlignment="1">
      <alignment vertical="center"/>
    </xf>
    <xf numFmtId="0" fontId="6" fillId="6" borderId="10" xfId="0" applyFont="1" applyFill="1" applyBorder="1" applyAlignment="1">
      <alignment vertical="center"/>
    </xf>
    <xf numFmtId="164" fontId="6" fillId="6" borderId="10" xfId="0" applyNumberFormat="1" applyFont="1" applyFill="1" applyBorder="1" applyAlignment="1">
      <alignment vertical="center"/>
    </xf>
    <xf numFmtId="164" fontId="6" fillId="7" borderId="14" xfId="0" applyNumberFormat="1" applyFont="1" applyFill="1" applyBorder="1" applyAlignment="1">
      <alignment vertical="center"/>
    </xf>
    <xf numFmtId="49" fontId="6" fillId="6" borderId="10" xfId="0" applyNumberFormat="1" applyFont="1" applyFill="1" applyBorder="1" applyAlignment="1">
      <alignment vertical="center"/>
    </xf>
    <xf numFmtId="49" fontId="6" fillId="7" borderId="14" xfId="0" applyNumberFormat="1" applyFont="1" applyFill="1" applyBorder="1" applyAlignment="1">
      <alignment vertical="center"/>
    </xf>
    <xf numFmtId="0" fontId="6" fillId="4" borderId="7" xfId="0" applyFont="1" applyFill="1" applyBorder="1" applyAlignment="1">
      <alignment vertical="center"/>
    </xf>
    <xf numFmtId="49" fontId="6" fillId="4" borderId="13" xfId="0" applyNumberFormat="1" applyFont="1" applyFill="1" applyBorder="1" applyAlignment="1">
      <alignment vertical="center"/>
    </xf>
    <xf numFmtId="49" fontId="6" fillId="4" borderId="8" xfId="0" applyNumberFormat="1" applyFont="1" applyFill="1" applyBorder="1" applyAlignment="1">
      <alignment vertical="center"/>
    </xf>
    <xf numFmtId="0" fontId="9" fillId="5" borderId="11" xfId="0" applyFont="1" applyFill="1" applyBorder="1" applyAlignment="1">
      <alignment vertical="center"/>
    </xf>
    <xf numFmtId="164" fontId="9" fillId="5" borderId="12" xfId="0" applyNumberFormat="1" applyFont="1" applyFill="1" applyBorder="1" applyAlignment="1">
      <alignment vertical="center"/>
    </xf>
    <xf numFmtId="164" fontId="10" fillId="7" borderId="14" xfId="0" applyNumberFormat="1" applyFont="1" applyFill="1" applyBorder="1" applyAlignment="1">
      <alignment vertical="center"/>
    </xf>
    <xf numFmtId="164" fontId="9" fillId="5" borderId="15" xfId="0" applyNumberFormat="1" applyFont="1" applyFill="1" applyBorder="1" applyAlignment="1">
      <alignment vertical="center"/>
    </xf>
    <xf numFmtId="0" fontId="8" fillId="0" borderId="0" xfId="0" applyFont="1"/>
    <xf numFmtId="0" fontId="7" fillId="4" borderId="16" xfId="0" applyFont="1" applyFill="1" applyBorder="1" applyAlignment="1">
      <alignment wrapText="1"/>
    </xf>
    <xf numFmtId="0" fontId="8" fillId="0" borderId="16" xfId="0" applyFont="1" applyBorder="1" applyAlignment="1">
      <alignment wrapText="1"/>
    </xf>
    <xf numFmtId="0" fontId="1" fillId="2" borderId="0" xfId="0" applyFont="1" applyFill="1" applyAlignment="1">
      <alignment horizontal="left"/>
    </xf>
    <xf numFmtId="0" fontId="4" fillId="3" borderId="0" xfId="0" applyFont="1" applyFill="1" applyAlignment="1">
      <alignment wrapText="1"/>
    </xf>
    <xf numFmtId="0" fontId="1" fillId="2" borderId="0" xfId="0" applyFont="1" applyFill="1" applyAlignment="1">
      <alignment horizontal="right"/>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tabSelected="1" workbookViewId="0">
      <selection sqref="A1:E1"/>
    </sheetView>
  </sheetViews>
  <sheetFormatPr baseColWidth="10" defaultColWidth="8.83203125" defaultRowHeight="14"/>
  <cols>
    <col min="1" max="1" width="30" customWidth="1"/>
    <col min="2" max="2" width="96" customWidth="1"/>
    <col min="3" max="5" width="16" customWidth="1"/>
  </cols>
  <sheetData>
    <row r="1" spans="1:5" ht="24" customHeight="1">
      <c r="A1" s="37" t="s">
        <v>0</v>
      </c>
      <c r="B1" s="37" t="s">
        <v>0</v>
      </c>
      <c r="C1" s="37" t="s">
        <v>0</v>
      </c>
      <c r="D1" s="37" t="s">
        <v>0</v>
      </c>
      <c r="E1" s="37" t="s">
        <v>0</v>
      </c>
    </row>
    <row r="2" spans="1:5" ht="15" customHeight="1">
      <c r="A2" s="1"/>
      <c r="B2" s="1"/>
      <c r="C2" s="1"/>
      <c r="D2" s="1"/>
      <c r="E2" s="1"/>
    </row>
    <row r="3" spans="1:5" ht="15" customHeight="1">
      <c r="A3" s="2" t="s">
        <v>1</v>
      </c>
      <c r="B3" s="3" t="s">
        <v>2</v>
      </c>
      <c r="C3" s="1"/>
      <c r="D3" s="1"/>
      <c r="E3" s="1"/>
    </row>
    <row r="4" spans="1:5" ht="15" customHeight="1">
      <c r="A4" s="4" t="s">
        <v>3</v>
      </c>
      <c r="B4" s="5" t="s">
        <v>4</v>
      </c>
      <c r="C4" s="1"/>
      <c r="D4" s="1"/>
      <c r="E4" s="1"/>
    </row>
    <row r="5" spans="1:5" ht="15" customHeight="1">
      <c r="A5" s="4" t="s">
        <v>5</v>
      </c>
      <c r="B5" s="5" t="s">
        <v>6</v>
      </c>
      <c r="C5" s="1"/>
      <c r="D5" s="1"/>
      <c r="E5" s="1"/>
    </row>
    <row r="6" spans="1:5" ht="15" customHeight="1">
      <c r="A6" s="4" t="s">
        <v>7</v>
      </c>
      <c r="B6" s="5" t="s">
        <v>8</v>
      </c>
      <c r="C6" s="1"/>
      <c r="D6" s="1"/>
      <c r="E6" s="1"/>
    </row>
    <row r="7" spans="1:5" ht="15" customHeight="1">
      <c r="A7" s="4" t="s">
        <v>9</v>
      </c>
      <c r="B7" s="5" t="s">
        <v>10</v>
      </c>
      <c r="C7" s="1"/>
      <c r="D7" s="1"/>
      <c r="E7" s="1"/>
    </row>
    <row r="8" spans="1:5" ht="15" customHeight="1">
      <c r="A8" s="6" t="s">
        <v>11</v>
      </c>
      <c r="B8" s="7" t="s">
        <v>12</v>
      </c>
      <c r="C8" s="1"/>
      <c r="D8" s="1"/>
      <c r="E8" s="1"/>
    </row>
    <row r="9" spans="1:5" ht="15" customHeight="1">
      <c r="A9" s="1"/>
      <c r="B9" s="1"/>
      <c r="C9" s="1"/>
      <c r="D9" s="1"/>
      <c r="E9" s="1"/>
    </row>
    <row r="10" spans="1:5">
      <c r="A10" s="38" t="s">
        <v>13</v>
      </c>
      <c r="B10" s="38" t="s">
        <v>13</v>
      </c>
      <c r="C10" s="38" t="s">
        <v>13</v>
      </c>
      <c r="D10" s="38" t="s">
        <v>13</v>
      </c>
      <c r="E10" s="38" t="s">
        <v>13</v>
      </c>
    </row>
    <row r="11" spans="1:5">
      <c r="A11" s="38" t="s">
        <v>13</v>
      </c>
      <c r="B11" s="38" t="s">
        <v>13</v>
      </c>
      <c r="C11" s="38" t="s">
        <v>13</v>
      </c>
      <c r="D11" s="38" t="s">
        <v>13</v>
      </c>
      <c r="E11" s="38" t="s">
        <v>13</v>
      </c>
    </row>
    <row r="12" spans="1:5">
      <c r="A12" s="38" t="s">
        <v>13</v>
      </c>
      <c r="B12" s="38" t="s">
        <v>13</v>
      </c>
      <c r="C12" s="38" t="s">
        <v>13</v>
      </c>
      <c r="D12" s="38" t="s">
        <v>13</v>
      </c>
      <c r="E12" s="38" t="s">
        <v>13</v>
      </c>
    </row>
  </sheetData>
  <mergeCells count="2">
    <mergeCell ref="A1:E1"/>
    <mergeCell ref="A10: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showGridLines="0" workbookViewId="0"/>
  </sheetViews>
  <sheetFormatPr baseColWidth="10" defaultColWidth="8.83203125" defaultRowHeight="14"/>
  <cols>
    <col min="1" max="1" width="86" customWidth="1"/>
    <col min="2" max="2" width="24" customWidth="1"/>
    <col min="3" max="4" width="18" customWidth="1"/>
  </cols>
  <sheetData>
    <row r="1" spans="1:4" ht="24" customHeight="1">
      <c r="A1" s="37" t="s">
        <v>14</v>
      </c>
      <c r="B1" s="39" t="s">
        <v>14</v>
      </c>
      <c r="C1" s="37" t="s">
        <v>14</v>
      </c>
      <c r="D1" s="37" t="s">
        <v>14</v>
      </c>
    </row>
    <row r="2" spans="1:4">
      <c r="A2" s="38" t="s">
        <v>15</v>
      </c>
      <c r="B2" s="38" t="s">
        <v>15</v>
      </c>
      <c r="C2" s="38" t="s">
        <v>15</v>
      </c>
      <c r="D2" s="38" t="s">
        <v>15</v>
      </c>
    </row>
    <row r="3" spans="1:4">
      <c r="A3" s="38" t="s">
        <v>15</v>
      </c>
      <c r="B3" s="38" t="s">
        <v>15</v>
      </c>
      <c r="C3" s="38" t="s">
        <v>15</v>
      </c>
      <c r="D3" s="38" t="s">
        <v>15</v>
      </c>
    </row>
    <row r="4" spans="1:4" ht="15" customHeight="1">
      <c r="A4" s="1"/>
      <c r="B4" s="1"/>
      <c r="C4" s="1"/>
      <c r="D4" s="1"/>
    </row>
    <row r="5" spans="1:4" ht="15" customHeight="1">
      <c r="A5" s="8" t="s">
        <v>16</v>
      </c>
      <c r="B5" s="9" t="s">
        <v>6</v>
      </c>
      <c r="C5" s="1"/>
      <c r="D5" s="1"/>
    </row>
    <row r="6" spans="1:4" ht="16.75" customHeight="1">
      <c r="A6" s="10" t="s">
        <v>17</v>
      </c>
      <c r="B6" s="11">
        <v>39864</v>
      </c>
      <c r="C6" s="1"/>
      <c r="D6" s="1"/>
    </row>
    <row r="7" spans="1:4" ht="16.75" customHeight="1">
      <c r="A7" s="12" t="s">
        <v>18</v>
      </c>
      <c r="B7" s="13">
        <v>-16642</v>
      </c>
      <c r="C7" s="1"/>
      <c r="D7" s="1"/>
    </row>
    <row r="8" spans="1:4" ht="16.75" customHeight="1">
      <c r="A8" s="14" t="s">
        <v>19</v>
      </c>
      <c r="B8" s="15">
        <f>SUM(B6:B7)</f>
        <v>23222</v>
      </c>
      <c r="C8" s="1"/>
      <c r="D8" s="1"/>
    </row>
    <row r="9" spans="1:4" ht="16.75" customHeight="1">
      <c r="A9" s="12" t="s">
        <v>20</v>
      </c>
      <c r="B9" s="13">
        <v>-11878</v>
      </c>
      <c r="C9" s="1"/>
      <c r="D9" s="1"/>
    </row>
    <row r="10" spans="1:4" ht="16.75" customHeight="1">
      <c r="A10" s="12" t="s">
        <v>21</v>
      </c>
      <c r="B10" s="13">
        <v>-77</v>
      </c>
      <c r="C10" s="1"/>
      <c r="D10" s="1"/>
    </row>
    <row r="11" spans="1:4" ht="16.75" customHeight="1">
      <c r="A11" s="14" t="s">
        <v>22</v>
      </c>
      <c r="B11" s="15">
        <f>SUM(B8:B10)</f>
        <v>11267</v>
      </c>
      <c r="C11" s="1"/>
      <c r="D11" s="1"/>
    </row>
    <row r="12" spans="1:4" ht="16.75" customHeight="1">
      <c r="A12" s="12" t="s">
        <v>23</v>
      </c>
      <c r="B12" s="13">
        <v>-3270</v>
      </c>
      <c r="C12" s="1"/>
      <c r="D12" s="1"/>
    </row>
    <row r="13" spans="1:4" ht="16.75" customHeight="1">
      <c r="A13" s="14" t="s">
        <v>24</v>
      </c>
      <c r="B13" s="15">
        <f>SUM(B11:B12)</f>
        <v>7997</v>
      </c>
      <c r="C13" s="1"/>
      <c r="D13" s="1"/>
    </row>
    <row r="14" spans="1:4" ht="16.75" customHeight="1">
      <c r="A14" s="12" t="s">
        <v>25</v>
      </c>
      <c r="B14" s="13">
        <v>-80</v>
      </c>
      <c r="C14" s="1"/>
      <c r="D14" s="1"/>
    </row>
    <row r="15" spans="1:4" ht="16.75" customHeight="1">
      <c r="A15" s="12" t="s">
        <v>26</v>
      </c>
      <c r="B15" s="13">
        <v>102</v>
      </c>
      <c r="C15" s="1"/>
      <c r="D15" s="1"/>
    </row>
    <row r="16" spans="1:4" ht="16.75" customHeight="1">
      <c r="A16" s="12" t="s">
        <v>27</v>
      </c>
      <c r="B16" s="13">
        <v>1</v>
      </c>
      <c r="C16" s="1"/>
      <c r="D16" s="1"/>
    </row>
    <row r="17" spans="1:4" ht="16.75" customHeight="1">
      <c r="A17" s="14" t="s">
        <v>28</v>
      </c>
      <c r="B17" s="15">
        <f>SUM(B13:B16)</f>
        <v>8020</v>
      </c>
      <c r="C17" s="1"/>
      <c r="D17" s="1"/>
    </row>
    <row r="18" spans="1:4" ht="16.75" customHeight="1">
      <c r="A18" s="12" t="s">
        <v>29</v>
      </c>
      <c r="B18" s="13">
        <v>-1800</v>
      </c>
      <c r="C18" s="1"/>
      <c r="D18" s="1"/>
    </row>
    <row r="19" spans="1:4" ht="16.75" customHeight="1">
      <c r="A19" s="14" t="s">
        <v>30</v>
      </c>
      <c r="B19" s="15">
        <f>SUM(B17:B18)</f>
        <v>6220</v>
      </c>
      <c r="C19" s="1"/>
      <c r="D19" s="1"/>
    </row>
    <row r="20" spans="1:4" ht="16.75" customHeight="1">
      <c r="A20" s="14" t="s">
        <v>31</v>
      </c>
      <c r="B20" s="15">
        <v>6220</v>
      </c>
      <c r="C20" s="1"/>
      <c r="D20" s="1"/>
    </row>
    <row r="21" spans="1:4" ht="15" customHeight="1">
      <c r="A21" s="1"/>
      <c r="B21" s="1"/>
      <c r="C21" s="1"/>
      <c r="D21" s="1"/>
    </row>
    <row r="22" spans="1:4" ht="15.5" customHeight="1">
      <c r="A22" s="16" t="s">
        <v>11</v>
      </c>
      <c r="B22" s="17" t="s">
        <v>32</v>
      </c>
      <c r="C22" s="1"/>
      <c r="D22" s="1"/>
    </row>
  </sheetData>
  <mergeCells count="2">
    <mergeCell ref="A1:D1"/>
    <mergeCell ref="A2: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8"/>
  <sheetViews>
    <sheetView showGridLines="0" workbookViewId="0"/>
  </sheetViews>
  <sheetFormatPr baseColWidth="10" defaultColWidth="8.83203125" defaultRowHeight="14"/>
  <cols>
    <col min="1" max="1" width="86" customWidth="1"/>
    <col min="2" max="2" width="24" customWidth="1"/>
    <col min="3" max="3" width="5" customWidth="1"/>
    <col min="4" max="4" width="24" customWidth="1"/>
  </cols>
  <sheetData>
    <row r="1" spans="1:4" ht="24" customHeight="1">
      <c r="A1" s="37" t="s">
        <v>33</v>
      </c>
      <c r="B1" s="39" t="s">
        <v>33</v>
      </c>
      <c r="C1" s="37" t="s">
        <v>33</v>
      </c>
      <c r="D1" s="37" t="s">
        <v>33</v>
      </c>
    </row>
    <row r="2" spans="1:4">
      <c r="A2" s="38" t="s">
        <v>34</v>
      </c>
      <c r="B2" s="38" t="s">
        <v>34</v>
      </c>
      <c r="C2" s="38" t="s">
        <v>34</v>
      </c>
      <c r="D2" s="38" t="s">
        <v>34</v>
      </c>
    </row>
    <row r="3" spans="1:4">
      <c r="A3" s="38" t="s">
        <v>34</v>
      </c>
      <c r="B3" s="38" t="s">
        <v>34</v>
      </c>
      <c r="C3" s="38" t="s">
        <v>34</v>
      </c>
      <c r="D3" s="38" t="s">
        <v>34</v>
      </c>
    </row>
    <row r="4" spans="1:4" ht="15" customHeight="1">
      <c r="A4" s="1"/>
      <c r="B4" s="1"/>
      <c r="C4" s="1"/>
      <c r="D4" s="1"/>
    </row>
    <row r="5" spans="1:4" ht="15" customHeight="1">
      <c r="A5" s="8" t="s">
        <v>35</v>
      </c>
      <c r="B5" s="18" t="s">
        <v>6</v>
      </c>
      <c r="C5" s="19"/>
      <c r="D5" s="9" t="s">
        <v>36</v>
      </c>
    </row>
    <row r="6" spans="1:4" ht="16.75" customHeight="1">
      <c r="A6" s="14" t="s">
        <v>37</v>
      </c>
      <c r="B6" s="15">
        <v>19947</v>
      </c>
      <c r="C6" s="20"/>
      <c r="D6" s="21">
        <v>18358</v>
      </c>
    </row>
    <row r="7" spans="1:4" ht="16.75" customHeight="1">
      <c r="A7" s="12" t="s">
        <v>38</v>
      </c>
      <c r="B7" s="13">
        <v>5542</v>
      </c>
      <c r="C7" s="20"/>
      <c r="D7" s="13">
        <v>5269</v>
      </c>
    </row>
    <row r="8" spans="1:4" ht="16.75" customHeight="1">
      <c r="A8" s="12" t="s">
        <v>39</v>
      </c>
      <c r="B8" s="13">
        <v>1643</v>
      </c>
      <c r="C8" s="20"/>
      <c r="D8" s="13">
        <v>1411</v>
      </c>
    </row>
    <row r="9" spans="1:4" ht="16.75" customHeight="1">
      <c r="A9" s="12" t="s">
        <v>40</v>
      </c>
      <c r="B9" s="13">
        <v>197</v>
      </c>
      <c r="C9" s="20"/>
      <c r="D9" s="13">
        <v>196</v>
      </c>
    </row>
    <row r="10" spans="1:4" ht="16.75" customHeight="1">
      <c r="A10" s="12" t="s">
        <v>41</v>
      </c>
      <c r="B10" s="13">
        <v>11135</v>
      </c>
      <c r="C10" s="20"/>
      <c r="D10" s="13">
        <v>10005</v>
      </c>
    </row>
    <row r="11" spans="1:4" ht="16.75" customHeight="1">
      <c r="A11" s="12" t="s">
        <v>42</v>
      </c>
      <c r="B11" s="13">
        <v>6</v>
      </c>
      <c r="C11" s="20"/>
      <c r="D11" s="13">
        <v>9</v>
      </c>
    </row>
    <row r="12" spans="1:4" ht="16.75" customHeight="1">
      <c r="A12" s="12" t="s">
        <v>43</v>
      </c>
      <c r="B12" s="13">
        <v>471</v>
      </c>
      <c r="C12" s="20"/>
      <c r="D12" s="13">
        <v>450</v>
      </c>
    </row>
    <row r="13" spans="1:4" ht="16.75" customHeight="1">
      <c r="A13" s="12" t="s">
        <v>44</v>
      </c>
      <c r="B13" s="13">
        <v>203</v>
      </c>
      <c r="C13" s="20"/>
      <c r="D13" s="13">
        <v>217</v>
      </c>
    </row>
    <row r="14" spans="1:4" ht="16.75" customHeight="1">
      <c r="A14" s="12" t="s">
        <v>45</v>
      </c>
      <c r="B14" s="13">
        <v>750</v>
      </c>
      <c r="C14" s="20"/>
      <c r="D14" s="13">
        <v>800</v>
      </c>
    </row>
    <row r="15" spans="1:4" ht="16.75" customHeight="1">
      <c r="A15" s="14" t="s">
        <v>46</v>
      </c>
      <c r="B15" s="15">
        <v>15691</v>
      </c>
      <c r="C15" s="20"/>
      <c r="D15" s="21">
        <v>16356</v>
      </c>
    </row>
    <row r="16" spans="1:4" ht="16.75" customHeight="1">
      <c r="A16" s="12" t="s">
        <v>47</v>
      </c>
      <c r="B16" s="13">
        <v>3249</v>
      </c>
      <c r="C16" s="20"/>
      <c r="D16" s="13">
        <v>3321</v>
      </c>
    </row>
    <row r="17" spans="1:4" ht="16.75" customHeight="1">
      <c r="A17" s="12" t="s">
        <v>48</v>
      </c>
      <c r="B17" s="13">
        <v>1166</v>
      </c>
      <c r="C17" s="20"/>
      <c r="D17" s="13">
        <v>1088</v>
      </c>
    </row>
    <row r="18" spans="1:4" ht="16.75" customHeight="1">
      <c r="A18" s="12" t="s">
        <v>49</v>
      </c>
      <c r="B18" s="13">
        <v>197</v>
      </c>
      <c r="C18" s="20"/>
      <c r="D18" s="13">
        <v>326</v>
      </c>
    </row>
    <row r="19" spans="1:4" ht="16.75" customHeight="1">
      <c r="A19" s="12" t="s">
        <v>50</v>
      </c>
      <c r="B19" s="13">
        <v>112</v>
      </c>
      <c r="C19" s="20"/>
      <c r="D19" s="13">
        <v>94</v>
      </c>
    </row>
    <row r="20" spans="1:4" ht="16.75" customHeight="1">
      <c r="A20" s="12" t="s">
        <v>51</v>
      </c>
      <c r="B20" s="13">
        <v>8</v>
      </c>
      <c r="C20" s="20"/>
      <c r="D20" s="13">
        <v>25</v>
      </c>
    </row>
    <row r="21" spans="1:4" ht="16.75" customHeight="1">
      <c r="A21" s="12" t="s">
        <v>52</v>
      </c>
      <c r="B21" s="13">
        <v>5684</v>
      </c>
      <c r="C21" s="20"/>
      <c r="D21" s="13">
        <v>5120</v>
      </c>
    </row>
    <row r="22" spans="1:4" ht="16.75" customHeight="1">
      <c r="A22" s="12" t="s">
        <v>53</v>
      </c>
      <c r="B22" s="13">
        <v>5276</v>
      </c>
      <c r="C22" s="20"/>
      <c r="D22" s="13">
        <v>6382</v>
      </c>
    </row>
    <row r="23" spans="1:4" ht="16.75" customHeight="1">
      <c r="A23" s="14" t="s">
        <v>54</v>
      </c>
      <c r="B23" s="15">
        <v>35638</v>
      </c>
      <c r="C23" s="20"/>
      <c r="D23" s="21">
        <v>34714</v>
      </c>
    </row>
    <row r="24" spans="1:4" ht="16.75" customHeight="1">
      <c r="A24" s="12"/>
      <c r="B24" s="13"/>
      <c r="C24" s="20"/>
      <c r="D24" s="13"/>
    </row>
    <row r="25" spans="1:4" ht="16.75" customHeight="1">
      <c r="A25" s="22" t="s">
        <v>55</v>
      </c>
      <c r="B25" s="23"/>
      <c r="C25" s="24"/>
      <c r="D25" s="23"/>
    </row>
    <row r="26" spans="1:4" ht="16.75" customHeight="1">
      <c r="A26" s="14" t="s">
        <v>56</v>
      </c>
      <c r="B26" s="15">
        <v>20395</v>
      </c>
      <c r="C26" s="20"/>
      <c r="D26" s="21">
        <v>19676</v>
      </c>
    </row>
    <row r="27" spans="1:4" ht="16.75" customHeight="1">
      <c r="A27" s="14" t="s">
        <v>57</v>
      </c>
      <c r="B27" s="15">
        <v>20395</v>
      </c>
      <c r="C27" s="20"/>
      <c r="D27" s="21">
        <v>19676</v>
      </c>
    </row>
    <row r="28" spans="1:4" ht="16.75" customHeight="1">
      <c r="A28" s="14" t="s">
        <v>58</v>
      </c>
      <c r="B28" s="15">
        <v>0</v>
      </c>
      <c r="C28" s="20"/>
      <c r="D28" s="21">
        <v>0</v>
      </c>
    </row>
    <row r="29" spans="1:4" ht="16.75" customHeight="1">
      <c r="A29" s="12"/>
      <c r="B29" s="13"/>
      <c r="C29" s="20"/>
      <c r="D29" s="13"/>
    </row>
    <row r="30" spans="1:4" ht="16.75" customHeight="1">
      <c r="A30" s="22" t="s">
        <v>59</v>
      </c>
      <c r="B30" s="25" t="s">
        <v>6</v>
      </c>
      <c r="C30" s="26"/>
      <c r="D30" s="25" t="s">
        <v>36</v>
      </c>
    </row>
    <row r="31" spans="1:4" ht="16.75" customHeight="1">
      <c r="A31" s="12" t="s">
        <v>60</v>
      </c>
      <c r="B31" s="13">
        <v>94</v>
      </c>
      <c r="C31" s="20"/>
      <c r="D31" s="13">
        <v>94</v>
      </c>
    </row>
    <row r="32" spans="1:4" ht="16.75" customHeight="1">
      <c r="A32" s="12" t="s">
        <v>61</v>
      </c>
      <c r="B32" s="13">
        <v>20</v>
      </c>
      <c r="C32" s="20"/>
      <c r="D32" s="13">
        <v>20</v>
      </c>
    </row>
    <row r="33" spans="1:4" ht="16.75" customHeight="1">
      <c r="A33" s="12" t="s">
        <v>62</v>
      </c>
      <c r="B33" s="13">
        <v>13605</v>
      </c>
      <c r="C33" s="20"/>
      <c r="D33" s="13">
        <v>13128</v>
      </c>
    </row>
    <row r="34" spans="1:4" ht="16.75" customHeight="1">
      <c r="A34" s="12" t="s">
        <v>63</v>
      </c>
      <c r="B34" s="13">
        <v>6220</v>
      </c>
      <c r="C34" s="20"/>
      <c r="D34" s="13">
        <v>5866</v>
      </c>
    </row>
    <row r="35" spans="1:4" ht="16.75" customHeight="1">
      <c r="A35" s="12" t="s">
        <v>64</v>
      </c>
      <c r="B35" s="13">
        <v>624</v>
      </c>
      <c r="C35" s="20"/>
      <c r="D35" s="13">
        <v>571</v>
      </c>
    </row>
    <row r="36" spans="1:4" ht="16.75" customHeight="1">
      <c r="A36" s="12" t="s">
        <v>65</v>
      </c>
      <c r="B36" s="13">
        <v>338</v>
      </c>
      <c r="C36" s="20"/>
      <c r="D36" s="13">
        <v>329</v>
      </c>
    </row>
    <row r="37" spans="1:4" ht="16.75" customHeight="1">
      <c r="A37" s="12" t="s">
        <v>66</v>
      </c>
      <c r="B37" s="13">
        <v>-7</v>
      </c>
      <c r="C37" s="20"/>
      <c r="D37" s="13">
        <v>-47</v>
      </c>
    </row>
    <row r="38" spans="1:4" ht="16.75" customHeight="1">
      <c r="A38" s="12" t="s">
        <v>67</v>
      </c>
      <c r="B38" s="13">
        <v>-490</v>
      </c>
      <c r="C38" s="20"/>
      <c r="D38" s="13">
        <v>-290</v>
      </c>
    </row>
    <row r="39" spans="1:4" ht="16.75" customHeight="1">
      <c r="A39" s="12" t="s">
        <v>68</v>
      </c>
      <c r="B39" s="13">
        <v>-9</v>
      </c>
      <c r="C39" s="20"/>
      <c r="D39" s="13">
        <v>5</v>
      </c>
    </row>
    <row r="40" spans="1:4" ht="16.75" customHeight="1">
      <c r="A40" s="14" t="s">
        <v>69</v>
      </c>
      <c r="B40" s="15">
        <f>SUM(B31:B39)-B27</f>
        <v>0</v>
      </c>
      <c r="C40" s="20"/>
      <c r="D40" s="21">
        <v>0</v>
      </c>
    </row>
    <row r="41" spans="1:4" ht="16.75" customHeight="1">
      <c r="A41" s="12"/>
      <c r="B41" s="13"/>
      <c r="C41" s="20"/>
      <c r="D41" s="13"/>
    </row>
    <row r="42" spans="1:4" ht="16.75" customHeight="1">
      <c r="A42" s="27" t="s">
        <v>70</v>
      </c>
      <c r="B42" s="28" t="s">
        <v>6</v>
      </c>
      <c r="C42" s="26"/>
      <c r="D42" s="29" t="s">
        <v>36</v>
      </c>
    </row>
    <row r="43" spans="1:4" ht="16.75" customHeight="1">
      <c r="A43" s="14" t="s">
        <v>71</v>
      </c>
      <c r="B43" s="15">
        <v>5071</v>
      </c>
      <c r="C43" s="20"/>
      <c r="D43" s="21">
        <v>4851</v>
      </c>
    </row>
    <row r="44" spans="1:4" ht="16.75" customHeight="1">
      <c r="A44" s="12" t="s">
        <v>72</v>
      </c>
      <c r="B44" s="13">
        <v>345</v>
      </c>
      <c r="C44" s="20"/>
      <c r="D44" s="13">
        <v>348</v>
      </c>
    </row>
    <row r="45" spans="1:4" ht="16.75" customHeight="1">
      <c r="A45" s="12" t="s">
        <v>73</v>
      </c>
      <c r="B45" s="13">
        <v>231</v>
      </c>
      <c r="C45" s="20"/>
      <c r="D45" s="13">
        <v>251</v>
      </c>
    </row>
    <row r="46" spans="1:4" ht="16.75" customHeight="1">
      <c r="A46" s="12" t="s">
        <v>74</v>
      </c>
      <c r="B46" s="13">
        <v>0</v>
      </c>
      <c r="C46" s="20"/>
      <c r="D46" s="13">
        <v>0</v>
      </c>
    </row>
    <row r="47" spans="1:4" ht="16.75" customHeight="1">
      <c r="A47" s="12" t="s">
        <v>75</v>
      </c>
      <c r="B47" s="13">
        <v>4394</v>
      </c>
      <c r="C47" s="20"/>
      <c r="D47" s="13">
        <v>4180</v>
      </c>
    </row>
    <row r="48" spans="1:4" ht="16.75" customHeight="1">
      <c r="A48" s="12" t="s">
        <v>76</v>
      </c>
      <c r="B48" s="13">
        <v>101</v>
      </c>
      <c r="C48" s="20"/>
      <c r="D48" s="13">
        <v>72</v>
      </c>
    </row>
    <row r="49" spans="1:4" ht="16.75" customHeight="1">
      <c r="A49" s="14" t="s">
        <v>77</v>
      </c>
      <c r="B49" s="15">
        <v>10172</v>
      </c>
      <c r="C49" s="20"/>
      <c r="D49" s="21">
        <v>10187</v>
      </c>
    </row>
    <row r="50" spans="1:4" ht="16.75" customHeight="1">
      <c r="A50" s="12" t="s">
        <v>74</v>
      </c>
      <c r="B50" s="13">
        <v>2</v>
      </c>
      <c r="C50" s="20"/>
      <c r="D50" s="13">
        <v>7</v>
      </c>
    </row>
    <row r="51" spans="1:4" ht="16.75" customHeight="1">
      <c r="A51" s="12" t="s">
        <v>78</v>
      </c>
      <c r="B51" s="13">
        <v>44</v>
      </c>
      <c r="C51" s="20"/>
      <c r="D51" s="13">
        <v>48</v>
      </c>
    </row>
    <row r="52" spans="1:4" ht="16.75" customHeight="1">
      <c r="A52" s="12" t="s">
        <v>79</v>
      </c>
      <c r="B52" s="13">
        <v>1539</v>
      </c>
      <c r="C52" s="20"/>
      <c r="D52" s="13">
        <v>1542</v>
      </c>
    </row>
    <row r="53" spans="1:4" ht="16.75" customHeight="1">
      <c r="A53" s="12" t="s">
        <v>80</v>
      </c>
      <c r="B53" s="13">
        <v>318</v>
      </c>
      <c r="C53" s="20"/>
      <c r="D53" s="13">
        <v>312</v>
      </c>
    </row>
    <row r="54" spans="1:4" ht="16.75" customHeight="1">
      <c r="A54" s="12" t="s">
        <v>81</v>
      </c>
      <c r="B54" s="13">
        <v>8269</v>
      </c>
      <c r="C54" s="20"/>
      <c r="D54" s="13">
        <v>8278</v>
      </c>
    </row>
    <row r="55" spans="1:4" ht="16.75" customHeight="1">
      <c r="A55" s="14" t="s">
        <v>82</v>
      </c>
      <c r="B55" s="15">
        <v>35638</v>
      </c>
      <c r="C55" s="20"/>
      <c r="D55" s="21">
        <v>34714</v>
      </c>
    </row>
    <row r="56" spans="1:4" ht="16.75" customHeight="1">
      <c r="A56" s="30" t="s">
        <v>83</v>
      </c>
      <c r="B56" s="31">
        <f>B23-B55</f>
        <v>0</v>
      </c>
      <c r="C56" s="32"/>
      <c r="D56" s="33">
        <v>0</v>
      </c>
    </row>
    <row r="57" spans="1:4" ht="15" customHeight="1">
      <c r="A57" s="1"/>
      <c r="B57" s="1"/>
      <c r="C57" s="1"/>
      <c r="D57" s="1"/>
    </row>
    <row r="58" spans="1:4" ht="15.5" customHeight="1">
      <c r="A58" s="16" t="s">
        <v>11</v>
      </c>
      <c r="B58" s="17" t="s">
        <v>32</v>
      </c>
      <c r="C58" s="34"/>
      <c r="D58" s="34"/>
    </row>
  </sheetData>
  <mergeCells count="2">
    <mergeCell ref="A1:D1"/>
    <mergeCell ref="A2: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
  <sheetViews>
    <sheetView showGridLines="0" workbookViewId="0"/>
  </sheetViews>
  <sheetFormatPr baseColWidth="10" defaultColWidth="8.83203125" defaultRowHeight="14"/>
  <cols>
    <col min="1" max="1" width="112" customWidth="1"/>
    <col min="2" max="2" width="24" customWidth="1"/>
    <col min="3" max="4" width="20" customWidth="1"/>
  </cols>
  <sheetData>
    <row r="1" spans="1:4" ht="24" customHeight="1">
      <c r="A1" s="37" t="s">
        <v>84</v>
      </c>
      <c r="B1" s="39" t="s">
        <v>84</v>
      </c>
      <c r="C1" s="37" t="s">
        <v>84</v>
      </c>
      <c r="D1" s="37" t="s">
        <v>84</v>
      </c>
    </row>
    <row r="2" spans="1:4">
      <c r="A2" s="38" t="s">
        <v>85</v>
      </c>
      <c r="B2" s="38" t="s">
        <v>85</v>
      </c>
      <c r="C2" s="38" t="s">
        <v>85</v>
      </c>
      <c r="D2" s="38" t="s">
        <v>85</v>
      </c>
    </row>
    <row r="3" spans="1:4">
      <c r="A3" s="38" t="s">
        <v>85</v>
      </c>
      <c r="B3" s="38" t="s">
        <v>85</v>
      </c>
      <c r="C3" s="38" t="s">
        <v>85</v>
      </c>
      <c r="D3" s="38" t="s">
        <v>85</v>
      </c>
    </row>
    <row r="4" spans="1:4" ht="15" customHeight="1">
      <c r="A4" s="1"/>
      <c r="B4" s="1"/>
      <c r="C4" s="1"/>
      <c r="D4" s="1"/>
    </row>
    <row r="5" spans="1:4" ht="15" customHeight="1">
      <c r="A5" s="8" t="s">
        <v>16</v>
      </c>
      <c r="B5" s="9" t="s">
        <v>6</v>
      </c>
      <c r="C5" s="1"/>
      <c r="D5" s="1"/>
    </row>
    <row r="6" spans="1:4" ht="16.75" customHeight="1">
      <c r="A6" s="10" t="s">
        <v>86</v>
      </c>
      <c r="B6" s="11">
        <f>'P&amp;L'!B6-('Balance Sheet'!B17-'Balance Sheet'!D17)</f>
        <v>39786</v>
      </c>
      <c r="C6" s="1"/>
      <c r="D6" s="1"/>
    </row>
    <row r="7" spans="1:4" ht="16.75" customHeight="1">
      <c r="A7" s="12" t="s">
        <v>87</v>
      </c>
      <c r="B7" s="13">
        <f>'Cash Flow - Indirect'!B19-B6-B9</f>
        <v>-28969</v>
      </c>
      <c r="C7" s="1"/>
      <c r="D7" s="1"/>
    </row>
    <row r="8" spans="1:4" ht="16.75" customHeight="1">
      <c r="A8" s="14" t="s">
        <v>88</v>
      </c>
      <c r="B8" s="15">
        <f>SUM(B6:B7)</f>
        <v>10817</v>
      </c>
      <c r="C8" s="1"/>
      <c r="D8" s="1"/>
    </row>
    <row r="9" spans="1:4" ht="16.75" customHeight="1">
      <c r="A9" s="12" t="s">
        <v>89</v>
      </c>
      <c r="B9" s="13">
        <v>-1585</v>
      </c>
      <c r="C9" s="1"/>
      <c r="D9" s="1"/>
    </row>
    <row r="10" spans="1:4" ht="16.75" customHeight="1">
      <c r="A10" s="14" t="s">
        <v>90</v>
      </c>
      <c r="B10" s="15">
        <f>SUM(B8:B9)</f>
        <v>9232</v>
      </c>
      <c r="C10" s="1"/>
      <c r="D10" s="1"/>
    </row>
    <row r="11" spans="1:4" ht="16.75" customHeight="1">
      <c r="A11" s="12"/>
      <c r="B11" s="13"/>
      <c r="C11" s="1"/>
      <c r="D11" s="1"/>
    </row>
    <row r="12" spans="1:4" ht="16.75" customHeight="1">
      <c r="A12" s="12" t="s">
        <v>91</v>
      </c>
      <c r="B12" s="13">
        <v>-2712</v>
      </c>
      <c r="C12" s="1"/>
      <c r="D12" s="1"/>
    </row>
    <row r="13" spans="1:4" ht="16.75" customHeight="1">
      <c r="A13" s="12" t="s">
        <v>92</v>
      </c>
      <c r="B13" s="13">
        <v>-16</v>
      </c>
      <c r="C13" s="1"/>
      <c r="D13" s="1"/>
    </row>
    <row r="14" spans="1:4" ht="16.75" customHeight="1">
      <c r="A14" s="12" t="s">
        <v>93</v>
      </c>
      <c r="B14" s="13">
        <v>58</v>
      </c>
      <c r="C14" s="1"/>
      <c r="D14" s="1"/>
    </row>
    <row r="15" spans="1:4" ht="16.75" customHeight="1">
      <c r="A15" s="12" t="s">
        <v>94</v>
      </c>
      <c r="B15" s="13">
        <v>-545</v>
      </c>
      <c r="C15" s="1"/>
      <c r="D15" s="1"/>
    </row>
    <row r="16" spans="1:4" ht="16.75" customHeight="1">
      <c r="A16" s="14" t="s">
        <v>95</v>
      </c>
      <c r="B16" s="15">
        <f>SUM(B12:B15)</f>
        <v>-3215</v>
      </c>
      <c r="C16" s="1"/>
      <c r="D16" s="1"/>
    </row>
    <row r="17" spans="1:4" ht="16.75" customHeight="1">
      <c r="A17" s="12"/>
      <c r="B17" s="13"/>
      <c r="C17" s="1"/>
      <c r="D17" s="1"/>
    </row>
    <row r="18" spans="1:4" ht="16.75" customHeight="1">
      <c r="A18" s="12" t="s">
        <v>96</v>
      </c>
      <c r="B18" s="13">
        <f>'Balance Sheet'!B50-'Balance Sheet'!D50</f>
        <v>-5</v>
      </c>
      <c r="C18" s="1"/>
      <c r="D18" s="1"/>
    </row>
    <row r="19" spans="1:4" ht="16.75" customHeight="1">
      <c r="A19" s="12" t="s">
        <v>97</v>
      </c>
      <c r="B19" s="13">
        <v>-1834</v>
      </c>
      <c r="C19" s="1"/>
      <c r="D19" s="1"/>
    </row>
    <row r="20" spans="1:4" ht="16.75" customHeight="1">
      <c r="A20" s="12" t="s">
        <v>98</v>
      </c>
      <c r="B20" s="13">
        <v>-5236</v>
      </c>
      <c r="C20" s="1"/>
      <c r="D20" s="1"/>
    </row>
    <row r="21" spans="1:4" ht="16.75" customHeight="1">
      <c r="A21" s="14" t="s">
        <v>99</v>
      </c>
      <c r="B21" s="15">
        <f>SUM(B18:B20)</f>
        <v>-7075</v>
      </c>
      <c r="C21" s="1"/>
      <c r="D21" s="1"/>
    </row>
    <row r="22" spans="1:4" ht="16.75" customHeight="1">
      <c r="A22" s="12"/>
      <c r="B22" s="13"/>
      <c r="C22" s="1"/>
      <c r="D22" s="1"/>
    </row>
    <row r="23" spans="1:4" ht="16.75" customHeight="1">
      <c r="A23" s="14" t="s">
        <v>100</v>
      </c>
      <c r="B23" s="15">
        <f>SUM(B10,B16,B21)</f>
        <v>-1058</v>
      </c>
      <c r="C23" s="1"/>
      <c r="D23" s="1"/>
    </row>
    <row r="24" spans="1:4" ht="16.75" customHeight="1">
      <c r="A24" s="12" t="s">
        <v>101</v>
      </c>
      <c r="B24" s="13">
        <v>-48</v>
      </c>
      <c r="C24" s="1"/>
      <c r="D24" s="1"/>
    </row>
    <row r="25" spans="1:4" ht="16.75" customHeight="1">
      <c r="A25" s="14" t="s">
        <v>102</v>
      </c>
      <c r="B25" s="15">
        <f>SUM(B23:B24)</f>
        <v>-1106</v>
      </c>
      <c r="C25" s="1"/>
      <c r="D25" s="1"/>
    </row>
    <row r="26" spans="1:4" ht="16.75" customHeight="1">
      <c r="A26" s="12" t="s">
        <v>103</v>
      </c>
      <c r="B26" s="13">
        <f>'Balance Sheet'!D22</f>
        <v>6382</v>
      </c>
      <c r="C26" s="1"/>
      <c r="D26" s="1"/>
    </row>
    <row r="27" spans="1:4" ht="16.75" customHeight="1">
      <c r="A27" s="14" t="s">
        <v>104</v>
      </c>
      <c r="B27" s="15">
        <f>SUM(B25:B26)</f>
        <v>5276</v>
      </c>
      <c r="C27" s="1"/>
      <c r="D27" s="1"/>
    </row>
    <row r="28" spans="1:4" ht="16.75" customHeight="1">
      <c r="A28" s="14" t="s">
        <v>105</v>
      </c>
      <c r="B28" s="15">
        <f>'Balance Sheet'!B22</f>
        <v>5276</v>
      </c>
      <c r="C28" s="1"/>
      <c r="D28" s="1"/>
    </row>
    <row r="29" spans="1:4" ht="16.75" customHeight="1">
      <c r="A29" s="30" t="s">
        <v>106</v>
      </c>
      <c r="B29" s="31">
        <f>B27-B28</f>
        <v>0</v>
      </c>
      <c r="C29" s="1"/>
      <c r="D29" s="1"/>
    </row>
    <row r="30" spans="1:4" ht="16.75" customHeight="1">
      <c r="A30" s="30" t="s">
        <v>107</v>
      </c>
      <c r="B30" s="31">
        <f>B10-'Cash Flow - Indirect'!B19</f>
        <v>0</v>
      </c>
      <c r="C30" s="1"/>
      <c r="D30" s="1"/>
    </row>
    <row r="31" spans="1:4" ht="15" customHeight="1">
      <c r="A31" s="1"/>
      <c r="B31" s="1"/>
      <c r="C31" s="1"/>
      <c r="D31" s="1"/>
    </row>
    <row r="32" spans="1:4" ht="15" customHeight="1">
      <c r="A32" s="1"/>
      <c r="B32" s="1"/>
      <c r="C32" s="1"/>
      <c r="D32" s="1"/>
    </row>
    <row r="33" spans="1:4" ht="15" customHeight="1">
      <c r="A33" s="1"/>
      <c r="B33" s="1"/>
      <c r="C33" s="1"/>
      <c r="D33" s="1"/>
    </row>
    <row r="34" spans="1:4" ht="15" customHeight="1">
      <c r="A34" s="1"/>
      <c r="B34" s="1"/>
      <c r="C34" s="1"/>
      <c r="D34" s="1"/>
    </row>
    <row r="35" spans="1:4" ht="31.25" customHeight="1">
      <c r="A35" s="40" t="s">
        <v>108</v>
      </c>
      <c r="B35" s="40" t="s">
        <v>108</v>
      </c>
      <c r="C35" s="40" t="s">
        <v>108</v>
      </c>
      <c r="D35" s="40" t="s">
        <v>108</v>
      </c>
    </row>
    <row r="36" spans="1:4" ht="15.5" customHeight="1">
      <c r="A36" s="40" t="s">
        <v>109</v>
      </c>
      <c r="B36" s="40" t="s">
        <v>109</v>
      </c>
      <c r="C36" s="40" t="s">
        <v>109</v>
      </c>
      <c r="D36" s="40" t="s">
        <v>109</v>
      </c>
    </row>
  </sheetData>
  <mergeCells count="4">
    <mergeCell ref="A1:D1"/>
    <mergeCell ref="A2:D3"/>
    <mergeCell ref="A35:D35"/>
    <mergeCell ref="A36:D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showGridLines="0" workbookViewId="0"/>
  </sheetViews>
  <sheetFormatPr baseColWidth="10" defaultColWidth="8.83203125" defaultRowHeight="14"/>
  <cols>
    <col min="1" max="1" width="92" customWidth="1"/>
    <col min="2" max="2" width="24" customWidth="1"/>
    <col min="3" max="4" width="20" customWidth="1"/>
  </cols>
  <sheetData>
    <row r="1" spans="1:4" ht="24" customHeight="1">
      <c r="A1" s="37" t="s">
        <v>110</v>
      </c>
      <c r="B1" s="39" t="s">
        <v>110</v>
      </c>
      <c r="C1" s="37" t="s">
        <v>110</v>
      </c>
      <c r="D1" s="37" t="s">
        <v>110</v>
      </c>
    </row>
    <row r="2" spans="1:4">
      <c r="A2" s="38" t="s">
        <v>111</v>
      </c>
      <c r="B2" s="38" t="s">
        <v>111</v>
      </c>
      <c r="C2" s="38" t="s">
        <v>111</v>
      </c>
      <c r="D2" s="38" t="s">
        <v>111</v>
      </c>
    </row>
    <row r="3" spans="1:4">
      <c r="A3" s="38" t="s">
        <v>111</v>
      </c>
      <c r="B3" s="38" t="s">
        <v>111</v>
      </c>
      <c r="C3" s="38" t="s">
        <v>111</v>
      </c>
      <c r="D3" s="38" t="s">
        <v>111</v>
      </c>
    </row>
    <row r="4" spans="1:4" ht="15" customHeight="1">
      <c r="A4" s="1"/>
      <c r="B4" s="1"/>
      <c r="C4" s="1"/>
      <c r="D4" s="1"/>
    </row>
    <row r="5" spans="1:4" ht="15" customHeight="1">
      <c r="A5" s="8" t="s">
        <v>16</v>
      </c>
      <c r="B5" s="9" t="s">
        <v>6</v>
      </c>
      <c r="C5" s="1"/>
      <c r="D5" s="1"/>
    </row>
    <row r="6" spans="1:4" ht="16.75" customHeight="1">
      <c r="A6" s="10" t="s">
        <v>30</v>
      </c>
      <c r="B6" s="11">
        <f>'P&amp;L'!B19</f>
        <v>6220</v>
      </c>
      <c r="C6" s="1"/>
      <c r="D6" s="1"/>
    </row>
    <row r="7" spans="1:4" ht="16.75" customHeight="1">
      <c r="A7" s="12" t="s">
        <v>23</v>
      </c>
      <c r="B7" s="13">
        <f>-'P&amp;L'!B12</f>
        <v>3270</v>
      </c>
      <c r="C7" s="1"/>
      <c r="D7" s="1"/>
    </row>
    <row r="8" spans="1:4" ht="16.75" customHeight="1">
      <c r="A8" s="12" t="s">
        <v>112</v>
      </c>
      <c r="B8" s="13">
        <f>-'P&amp;L'!B14</f>
        <v>80</v>
      </c>
      <c r="C8" s="1"/>
      <c r="D8" s="1"/>
    </row>
    <row r="9" spans="1:4" ht="16.75" customHeight="1">
      <c r="A9" s="12" t="s">
        <v>26</v>
      </c>
      <c r="B9" s="13">
        <f>-'P&amp;L'!B15</f>
        <v>-102</v>
      </c>
      <c r="C9" s="1"/>
      <c r="D9" s="1"/>
    </row>
    <row r="10" spans="1:4" ht="16.75" customHeight="1">
      <c r="A10" s="12" t="s">
        <v>113</v>
      </c>
      <c r="B10" s="13">
        <f>-'P&amp;L'!B18</f>
        <v>1800</v>
      </c>
      <c r="C10" s="1"/>
      <c r="D10" s="1"/>
    </row>
    <row r="11" spans="1:4" ht="16.75" customHeight="1">
      <c r="A11" s="12" t="s">
        <v>114</v>
      </c>
      <c r="B11" s="13">
        <v>147</v>
      </c>
      <c r="C11" s="1"/>
      <c r="D11" s="1"/>
    </row>
    <row r="12" spans="1:4" ht="16.75" customHeight="1">
      <c r="A12" s="14" t="s">
        <v>115</v>
      </c>
      <c r="B12" s="15">
        <f>SUM(B6:B11)</f>
        <v>11415</v>
      </c>
      <c r="C12" s="1"/>
      <c r="D12" s="1"/>
    </row>
    <row r="13" spans="1:4" ht="16.75" customHeight="1">
      <c r="A13" s="12" t="s">
        <v>89</v>
      </c>
      <c r="B13" s="13">
        <v>-1585</v>
      </c>
      <c r="C13" s="1"/>
      <c r="D13" s="1"/>
    </row>
    <row r="14" spans="1:4" ht="16.75" customHeight="1">
      <c r="A14" s="12" t="s">
        <v>116</v>
      </c>
      <c r="B14" s="13">
        <f>-('Balance Sheet'!B16-'Balance Sheet'!D16)</f>
        <v>72</v>
      </c>
      <c r="C14" s="1"/>
      <c r="D14" s="1"/>
    </row>
    <row r="15" spans="1:4" ht="16.75" customHeight="1">
      <c r="A15" s="12" t="s">
        <v>117</v>
      </c>
      <c r="B15" s="13">
        <f>-('Balance Sheet'!B17-'Balance Sheet'!D17)</f>
        <v>-78</v>
      </c>
      <c r="C15" s="1"/>
      <c r="D15" s="1"/>
    </row>
    <row r="16" spans="1:4" ht="16.75" customHeight="1">
      <c r="A16" s="12" t="s">
        <v>118</v>
      </c>
      <c r="B16" s="13">
        <v>71</v>
      </c>
      <c r="C16" s="1"/>
      <c r="D16" s="1"/>
    </row>
    <row r="17" spans="1:4" ht="16.75" customHeight="1">
      <c r="A17" s="12" t="s">
        <v>119</v>
      </c>
      <c r="B17" s="13">
        <v>-663</v>
      </c>
      <c r="C17" s="1"/>
      <c r="D17" s="1"/>
    </row>
    <row r="18" spans="1:4" ht="16.75" customHeight="1">
      <c r="A18" s="14" t="s">
        <v>120</v>
      </c>
      <c r="B18" s="15">
        <f>SUM(B14:B17)</f>
        <v>-598</v>
      </c>
      <c r="C18" s="1"/>
      <c r="D18" s="1"/>
    </row>
    <row r="19" spans="1:4" ht="16.75" customHeight="1">
      <c r="A19" s="14" t="s">
        <v>90</v>
      </c>
      <c r="B19" s="15">
        <f>SUM(B12:B13,B18)</f>
        <v>9232</v>
      </c>
      <c r="C19" s="1"/>
      <c r="D19" s="1"/>
    </row>
    <row r="20" spans="1:4" ht="16.75" customHeight="1">
      <c r="A20" s="12"/>
      <c r="B20" s="13"/>
      <c r="C20" s="1"/>
      <c r="D20" s="1"/>
    </row>
    <row r="21" spans="1:4" ht="16.75" customHeight="1">
      <c r="A21" s="12" t="s">
        <v>91</v>
      </c>
      <c r="B21" s="13">
        <v>-2712</v>
      </c>
      <c r="C21" s="1"/>
      <c r="D21" s="1"/>
    </row>
    <row r="22" spans="1:4" ht="16.75" customHeight="1">
      <c r="A22" s="12" t="s">
        <v>92</v>
      </c>
      <c r="B22" s="13">
        <v>-16</v>
      </c>
      <c r="C22" s="1"/>
      <c r="D22" s="1"/>
    </row>
    <row r="23" spans="1:4" ht="16.75" customHeight="1">
      <c r="A23" s="12" t="s">
        <v>93</v>
      </c>
      <c r="B23" s="13">
        <v>58</v>
      </c>
      <c r="C23" s="1"/>
      <c r="D23" s="1"/>
    </row>
    <row r="24" spans="1:4" ht="16.75" customHeight="1">
      <c r="A24" s="12" t="s">
        <v>94</v>
      </c>
      <c r="B24" s="13">
        <v>-545</v>
      </c>
      <c r="C24" s="1"/>
      <c r="D24" s="1"/>
    </row>
    <row r="25" spans="1:4" ht="16.75" customHeight="1">
      <c r="A25" s="14" t="s">
        <v>95</v>
      </c>
      <c r="B25" s="15">
        <f>SUM(B21:B24)</f>
        <v>-3215</v>
      </c>
      <c r="C25" s="1"/>
      <c r="D25" s="1"/>
    </row>
    <row r="26" spans="1:4" ht="16.75" customHeight="1">
      <c r="A26" s="12"/>
      <c r="B26" s="13"/>
      <c r="C26" s="1"/>
      <c r="D26" s="1"/>
    </row>
    <row r="27" spans="1:4" ht="16.75" customHeight="1">
      <c r="A27" s="12" t="s">
        <v>96</v>
      </c>
      <c r="B27" s="13">
        <f>'Balance Sheet'!B50-'Balance Sheet'!D50</f>
        <v>-5</v>
      </c>
      <c r="C27" s="1"/>
      <c r="D27" s="1"/>
    </row>
    <row r="28" spans="1:4" ht="16.75" customHeight="1">
      <c r="A28" s="12" t="s">
        <v>97</v>
      </c>
      <c r="B28" s="13">
        <v>-1834</v>
      </c>
      <c r="C28" s="1"/>
      <c r="D28" s="1"/>
    </row>
    <row r="29" spans="1:4" ht="16.75" customHeight="1">
      <c r="A29" s="12" t="s">
        <v>98</v>
      </c>
      <c r="B29" s="13">
        <v>-5236</v>
      </c>
      <c r="C29" s="1"/>
      <c r="D29" s="1"/>
    </row>
    <row r="30" spans="1:4" ht="16.75" customHeight="1">
      <c r="A30" s="14" t="s">
        <v>99</v>
      </c>
      <c r="B30" s="15">
        <f>SUM(B27:B29)</f>
        <v>-7075</v>
      </c>
      <c r="C30" s="1"/>
      <c r="D30" s="1"/>
    </row>
    <row r="31" spans="1:4" ht="16.75" customHeight="1">
      <c r="A31" s="12"/>
      <c r="B31" s="13"/>
      <c r="C31" s="1"/>
      <c r="D31" s="1"/>
    </row>
    <row r="32" spans="1:4" ht="16.75" customHeight="1">
      <c r="A32" s="14" t="s">
        <v>100</v>
      </c>
      <c r="B32" s="15">
        <f>SUM(B19,B25,B30)</f>
        <v>-1058</v>
      </c>
      <c r="C32" s="1"/>
      <c r="D32" s="1"/>
    </row>
    <row r="33" spans="1:4" ht="16.75" customHeight="1">
      <c r="A33" s="12" t="s">
        <v>101</v>
      </c>
      <c r="B33" s="13">
        <v>-48</v>
      </c>
      <c r="C33" s="1"/>
      <c r="D33" s="1"/>
    </row>
    <row r="34" spans="1:4" ht="16.75" customHeight="1">
      <c r="A34" s="14" t="s">
        <v>102</v>
      </c>
      <c r="B34" s="15">
        <f>SUM(B32:B33)</f>
        <v>-1106</v>
      </c>
      <c r="C34" s="1"/>
      <c r="D34" s="1"/>
    </row>
    <row r="35" spans="1:4" ht="16.75" customHeight="1">
      <c r="A35" s="12" t="s">
        <v>103</v>
      </c>
      <c r="B35" s="13">
        <f>'Balance Sheet'!D22</f>
        <v>6382</v>
      </c>
      <c r="C35" s="1"/>
      <c r="D35" s="1"/>
    </row>
    <row r="36" spans="1:4" ht="16.75" customHeight="1">
      <c r="A36" s="14" t="s">
        <v>121</v>
      </c>
      <c r="B36" s="15">
        <f>SUM(B34:B35)</f>
        <v>5276</v>
      </c>
      <c r="C36" s="1"/>
      <c r="D36" s="1"/>
    </row>
    <row r="37" spans="1:4" ht="16.75" customHeight="1">
      <c r="A37" s="14" t="s">
        <v>105</v>
      </c>
      <c r="B37" s="15">
        <f>'Balance Sheet'!B22</f>
        <v>5276</v>
      </c>
      <c r="C37" s="1"/>
      <c r="D37" s="1"/>
    </row>
    <row r="38" spans="1:4" ht="16.75" customHeight="1">
      <c r="A38" s="30" t="s">
        <v>106</v>
      </c>
      <c r="B38" s="31">
        <f>B36-B37</f>
        <v>0</v>
      </c>
      <c r="C38" s="1"/>
      <c r="D38" s="1"/>
    </row>
    <row r="39" spans="1:4" ht="15" customHeight="1">
      <c r="A39" s="1"/>
      <c r="B39" s="1"/>
      <c r="C39" s="1"/>
      <c r="D39" s="1"/>
    </row>
    <row r="40" spans="1:4" ht="15.5" customHeight="1">
      <c r="A40" s="40" t="s">
        <v>122</v>
      </c>
      <c r="B40" s="40" t="s">
        <v>122</v>
      </c>
      <c r="C40" s="40" t="s">
        <v>122</v>
      </c>
      <c r="D40" s="40" t="s">
        <v>122</v>
      </c>
    </row>
    <row r="41" spans="1:4" ht="15.5" customHeight="1">
      <c r="A41" s="40" t="s">
        <v>109</v>
      </c>
      <c r="B41" s="40" t="s">
        <v>109</v>
      </c>
      <c r="C41" s="40" t="s">
        <v>109</v>
      </c>
      <c r="D41" s="40" t="s">
        <v>109</v>
      </c>
    </row>
  </sheetData>
  <mergeCells count="4">
    <mergeCell ref="A1:D1"/>
    <mergeCell ref="A2:D3"/>
    <mergeCell ref="A40:D40"/>
    <mergeCell ref="A41:D4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showGridLines="0" workbookViewId="0"/>
  </sheetViews>
  <sheetFormatPr baseColWidth="10" defaultColWidth="8.83203125" defaultRowHeight="14"/>
  <cols>
    <col min="1" max="1" width="32" customWidth="1"/>
    <col min="2" max="2" width="24" customWidth="1"/>
    <col min="3" max="3" width="140" customWidth="1"/>
    <col min="4" max="4" width="72" customWidth="1"/>
  </cols>
  <sheetData>
    <row r="1" spans="1:4" ht="24" customHeight="1">
      <c r="A1" s="37" t="s">
        <v>123</v>
      </c>
      <c r="B1" s="37" t="s">
        <v>123</v>
      </c>
      <c r="C1" s="37" t="s">
        <v>123</v>
      </c>
      <c r="D1" s="37" t="s">
        <v>123</v>
      </c>
    </row>
    <row r="2" spans="1:4" ht="15" customHeight="1">
      <c r="A2" s="1"/>
      <c r="B2" s="1"/>
      <c r="C2" s="1"/>
      <c r="D2" s="1"/>
    </row>
    <row r="3" spans="1:4" ht="15.5" customHeight="1">
      <c r="A3" s="35" t="s">
        <v>124</v>
      </c>
      <c r="B3" s="35" t="s">
        <v>125</v>
      </c>
      <c r="C3" s="35" t="s">
        <v>11</v>
      </c>
      <c r="D3" s="35" t="s">
        <v>126</v>
      </c>
    </row>
    <row r="4" spans="1:4" ht="31.25" customHeight="1">
      <c r="A4" s="36" t="s">
        <v>127</v>
      </c>
      <c r="B4" s="36" t="s">
        <v>6</v>
      </c>
      <c r="C4" s="36" t="s">
        <v>128</v>
      </c>
      <c r="D4" s="36" t="s">
        <v>129</v>
      </c>
    </row>
    <row r="5" spans="1:4" ht="31.25" customHeight="1">
      <c r="A5" s="36" t="s">
        <v>130</v>
      </c>
      <c r="B5" s="36" t="s">
        <v>131</v>
      </c>
      <c r="C5" s="36" t="s">
        <v>128</v>
      </c>
      <c r="D5" s="36" t="s">
        <v>132</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P&amp;L</vt:lpstr>
      <vt:lpstr>Balance Sheet</vt:lpstr>
      <vt:lpstr>Cash Flow - Direct</vt:lpstr>
      <vt:lpstr>Cash Flow - Indirect</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angeles barrios</cp:lastModifiedBy>
  <dcterms:created xsi:type="dcterms:W3CDTF">2026-07-22T14:37:43Z</dcterms:created>
  <dcterms:modified xsi:type="dcterms:W3CDTF">2026-07-22T14:37:43Z</dcterms:modified>
</cp:coreProperties>
</file>