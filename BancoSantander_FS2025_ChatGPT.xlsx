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angeles/Desktop/"/>
    </mc:Choice>
  </mc:AlternateContent>
  <xr:revisionPtr revIDLastSave="0" documentId="8_{8E98FD89-049B-874A-A1D9-3100D38959FE}" xr6:coauthVersionLast="47" xr6:coauthVersionMax="47" xr10:uidLastSave="{00000000-0000-0000-0000-000000000000}"/>
  <bookViews>
    <workbookView xWindow="0" yWindow="680" windowWidth="34200" windowHeight="19660" activeTab="4" xr2:uid="{00000000-000D-0000-FFFF-FFFF00000000}"/>
  </bookViews>
  <sheets>
    <sheet name="Prompt" sheetId="1" r:id="rId1"/>
    <sheet name="P&amp;L" sheetId="2" r:id="rId2"/>
    <sheet name="Balance Sheet" sheetId="3" r:id="rId3"/>
    <sheet name="Direct CF" sheetId="4" r:id="rId4"/>
    <sheet name="Indirect CF" sheetId="5" r:id="rId5"/>
    <sheet name="Check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6" l="1"/>
  <c r="E13" i="6"/>
  <c r="C8" i="6"/>
  <c r="B8" i="6"/>
  <c r="E8" i="6" s="1"/>
  <c r="C7" i="6"/>
  <c r="B7" i="6"/>
  <c r="E7" i="6" s="1"/>
  <c r="C6" i="6"/>
  <c r="B6" i="6"/>
  <c r="E6" i="6" s="1"/>
  <c r="C5" i="6"/>
  <c r="B5" i="6"/>
  <c r="E5" i="6" s="1"/>
  <c r="D26" i="5"/>
  <c r="C26" i="5"/>
  <c r="D24" i="5"/>
  <c r="C24" i="5"/>
  <c r="D20" i="5"/>
  <c r="C20" i="5"/>
  <c r="D19" i="5"/>
  <c r="C19" i="5"/>
  <c r="D18" i="5"/>
  <c r="C18" i="5"/>
  <c r="D17" i="5"/>
  <c r="C17" i="5"/>
  <c r="D16" i="5"/>
  <c r="C16" i="5"/>
  <c r="D13" i="5"/>
  <c r="C13" i="5"/>
  <c r="D12" i="5"/>
  <c r="C12" i="5"/>
  <c r="D11" i="5"/>
  <c r="C11" i="5"/>
  <c r="D10" i="5"/>
  <c r="C10" i="5"/>
  <c r="D9" i="5"/>
  <c r="C9" i="5"/>
  <c r="D8" i="5"/>
  <c r="C8" i="5"/>
  <c r="D7" i="5"/>
  <c r="C7" i="5"/>
  <c r="C14" i="5" s="1"/>
  <c r="C21" i="5" s="1"/>
  <c r="D6" i="5"/>
  <c r="D14" i="5" s="1"/>
  <c r="D21" i="5" s="1"/>
  <c r="C6" i="5"/>
  <c r="D19" i="4"/>
  <c r="C19" i="4"/>
  <c r="D17" i="4"/>
  <c r="C17" i="4"/>
  <c r="D12" i="4"/>
  <c r="C12" i="4"/>
  <c r="D11" i="4"/>
  <c r="C11" i="4"/>
  <c r="D10" i="4"/>
  <c r="C10" i="4"/>
  <c r="D9" i="4"/>
  <c r="C9" i="4"/>
  <c r="D8" i="4"/>
  <c r="C8" i="4"/>
  <c r="D7" i="4"/>
  <c r="C7" i="4"/>
  <c r="D6" i="4"/>
  <c r="D13" i="4" s="1"/>
  <c r="C6" i="4"/>
  <c r="C13" i="4" s="1"/>
  <c r="E54" i="2"/>
  <c r="D54" i="2"/>
  <c r="C54" i="2"/>
  <c r="C22" i="5" l="1"/>
  <c r="C23" i="5" s="1"/>
  <c r="D22" i="5"/>
  <c r="D23" i="5" s="1"/>
  <c r="C15" i="4"/>
  <c r="B11" i="6" s="1"/>
  <c r="C14" i="4"/>
  <c r="D14" i="4"/>
  <c r="D15" i="4"/>
  <c r="C11" i="6" s="1"/>
  <c r="D18" i="4"/>
  <c r="D20" i="4" s="1"/>
  <c r="C9" i="6" s="1"/>
  <c r="C12" i="6" l="1"/>
  <c r="D25" i="5"/>
  <c r="D27" i="5" s="1"/>
  <c r="C10" i="6" s="1"/>
  <c r="B12" i="6"/>
  <c r="E12" i="6" s="1"/>
  <c r="C25" i="5"/>
  <c r="C27" i="5" s="1"/>
  <c r="B10" i="6" s="1"/>
  <c r="E10" i="6" s="1"/>
  <c r="E11" i="6"/>
  <c r="C18" i="4"/>
  <c r="C20" i="4" s="1"/>
  <c r="B9" i="6" s="1"/>
  <c r="E9" i="6" s="1"/>
</calcChain>
</file>

<file path=xl/sharedStrings.xml><?xml version="1.0" encoding="utf-8"?>
<sst xmlns="http://schemas.openxmlformats.org/spreadsheetml/2006/main" count="821" uniqueCount="317">
  <si>
    <t>Updated Prompt / Modelling Instruction</t>
  </si>
  <si>
    <t>This tab documents the final modelling instruction applied to the workbook, including the requested treatment of unreconciled balances.</t>
  </si>
  <si>
    <t>Area</t>
  </si>
  <si>
    <t>Instruction</t>
  </si>
  <si>
    <t>Source statements</t>
  </si>
  <si>
    <t>Use the financial statements PDF, extract the P&amp;L and balance sheet into Excel, express figures in EUR thousands with no decimals, and keep separate P&amp;L and balance sheet tabs.</t>
  </si>
  <si>
    <t>Cash flow source rule</t>
  </si>
  <si>
    <t>Add direct and indirect cash flow tabs calculated with formulas. Do not use the published company cash flow statement.</t>
  </si>
  <si>
    <t>Unreconciled balance treatment</t>
  </si>
  <si>
    <t>In both the direct and indirect cash flow tabs, include the unreconciled balance as a line within the cash-flow bridge, not outside it. The unreconciled balance must be part of the total cash movement and therefore part of the ending cash balance calculation.</t>
  </si>
  <si>
    <t>Why unreconciled is not further reconciled</t>
  </si>
  <si>
    <t>Explain clearly in the workbook that the unreconciled balance is not further reconciled because the permitted source set is limited to the P&amp;L and balance sheet, while a full reconciliation would require note-level cash, FX, non-cash, perimeter/M&amp;A, and classification disclosures or the published cash flow statement. Do not invent figures or force manual adjustments to make the residual disappear.</t>
  </si>
  <si>
    <t>Ending balance tie-out</t>
  </si>
  <si>
    <t>In both the direct and indirect cash flow tabs, ending cash balance must equal opening cash balance plus total cash movement including the unreconciled balance, and must reconcile to the cash balance reported on the balance sheet.</t>
  </si>
  <si>
    <t>Equity presentation</t>
  </si>
  <si>
    <t>Show equity in detail and separate retained earnings from current-period net income.</t>
  </si>
  <si>
    <t>Indirect cash flow start point</t>
  </si>
  <si>
    <t>Start the indirect cash flow from net income.</t>
  </si>
  <si>
    <t>Professional standard</t>
  </si>
  <si>
    <t>Behave like a senior FP&amp;A professional: do not invent figures, do not force manual adjustments, use formulas, source/note columns, clear checks, and make the workbook easy to read, audit, and challenge.</t>
  </si>
  <si>
    <t>Formatting</t>
  </si>
  <si>
    <t>Use a polished senior FP&amp;A format with merged title/subtitle rows, readable Arial font, wide columns, wrapped methodology notes, frozen panes, clear section headers, bold subtotal rows, light blue section fills, light grey subtotal fills, red-highlighted unreconciled/control lines, and thousands number format with no decimals for all financial figures.</t>
  </si>
  <si>
    <t>Banco Santander - Consolidated P&amp;L</t>
  </si>
  <si>
    <t>EUR thousands, no decimals. Source statement reports EUR millions; each source amount is scaled by 1,000. Translation from Spanish source labels is for readability only.</t>
  </si>
  <si>
    <t>Line item</t>
  </si>
  <si>
    <t>Note</t>
  </si>
  <si>
    <t>2025</t>
  </si>
  <si>
    <t>2024</t>
  </si>
  <si>
    <t>2023</t>
  </si>
  <si>
    <t>Source</t>
  </si>
  <si>
    <t>Methodology / audit note</t>
  </si>
  <si>
    <t>Interest income</t>
  </si>
  <si>
    <t>38</t>
  </si>
  <si>
    <t>Banco Santander Consolidado 2025 2024.pdf; EURm x1,000 to EURk P&amp;L p.654.</t>
  </si>
  <si>
    <t>Extracted from the consolidated income statement; no cash flow statement values used.</t>
  </si>
  <si>
    <t>Financial assets at fair value through other comprehensive income</t>
  </si>
  <si>
    <t>Financial assets at amortised cost</t>
  </si>
  <si>
    <t>Remaining interest income</t>
  </si>
  <si>
    <t>Interest expense</t>
  </si>
  <si>
    <t>39</t>
  </si>
  <si>
    <t>Net interest income</t>
  </si>
  <si>
    <t>Dividend income</t>
  </si>
  <si>
    <t>40</t>
  </si>
  <si>
    <t>Share of results of entities accounted for using the equity method</t>
  </si>
  <si>
    <t>13</t>
  </si>
  <si>
    <t>Fee and commission income</t>
  </si>
  <si>
    <t>41</t>
  </si>
  <si>
    <t>Fee and commission expense</t>
  </si>
  <si>
    <t>42</t>
  </si>
  <si>
    <t>Gains/losses on derecognition of financial assets and liabilities not measured at FVPL, net</t>
  </si>
  <si>
    <t>43</t>
  </si>
  <si>
    <t>Remaining financial assets and liabilities</t>
  </si>
  <si>
    <t>Gains/losses on financial assets and liabilities held for trading, net</t>
  </si>
  <si>
    <t>Other gains or losses - trading</t>
  </si>
  <si>
    <t>Gains/losses on non-trading financial assets mandatorily at FVPL, net</t>
  </si>
  <si>
    <t>Other gains or losses - non-trading FVPL</t>
  </si>
  <si>
    <t>Gains/losses on financial assets and liabilities designated at FVPL, net</t>
  </si>
  <si>
    <t>Gains/losses from hedge accounting, net</t>
  </si>
  <si>
    <t>Exchange differences, net</t>
  </si>
  <si>
    <t>44</t>
  </si>
  <si>
    <t>Other operating income</t>
  </si>
  <si>
    <t>45</t>
  </si>
  <si>
    <t>Other operating expenses</t>
  </si>
  <si>
    <t>Income from insurance or reinsurance contracts</t>
  </si>
  <si>
    <t>Expenses from insurance or reinsurance contracts</t>
  </si>
  <si>
    <t>Gross income</t>
  </si>
  <si>
    <t>Banco Santander Consolidado 2025 2024.pdf; EURm x1,000 to EURk P&amp;L p.655.</t>
  </si>
  <si>
    <t>Administrative expenses</t>
  </si>
  <si>
    <t>Staff costs</t>
  </si>
  <si>
    <t>46</t>
  </si>
  <si>
    <t>Other administrative expenses</t>
  </si>
  <si>
    <t>47</t>
  </si>
  <si>
    <t>Depreciation and amortisation</t>
  </si>
  <si>
    <t>16,18</t>
  </si>
  <si>
    <t>Provisions or reversal of provisions</t>
  </si>
  <si>
    <t>25</t>
  </si>
  <si>
    <t>Impairment/reversal of impairment on financial assets not at FVPL and net modification gains/losses</t>
  </si>
  <si>
    <t>Financial assets at FVOCI</t>
  </si>
  <si>
    <t>10</t>
  </si>
  <si>
    <t>Impairment/reversal of impairment of investments in joint ventures or associates</t>
  </si>
  <si>
    <t>17,18</t>
  </si>
  <si>
    <t>Impairment/reversal of impairment of non-financial assets</t>
  </si>
  <si>
    <t>Tangible assets</t>
  </si>
  <si>
    <t>16</t>
  </si>
  <si>
    <t>Intangible assets</t>
  </si>
  <si>
    <t>Other</t>
  </si>
  <si>
    <t>Gains/losses on derecognition of non-financial assets, net</t>
  </si>
  <si>
    <t>48</t>
  </si>
  <si>
    <t>Negative goodwill recognised in profit or loss</t>
  </si>
  <si>
    <t>Gains/losses from non-current assets and disposal groups held for sale not qualifying as discontinued operations</t>
  </si>
  <si>
    <t>49</t>
  </si>
  <si>
    <t>Profit before tax from continuing operations</t>
  </si>
  <si>
    <t>Tax expense/income from continuing operations</t>
  </si>
  <si>
    <t>27</t>
  </si>
  <si>
    <t>Profit after tax from continuing operations</t>
  </si>
  <si>
    <t>Profit after tax from discontinued operations</t>
  </si>
  <si>
    <t>37</t>
  </si>
  <si>
    <t>Net income</t>
  </si>
  <si>
    <t>Attributable to non-controlling interests</t>
  </si>
  <si>
    <t>28</t>
  </si>
  <si>
    <t>Attributable to owners of the parent</t>
  </si>
  <si>
    <t>P&amp;L subtotal control - gross income</t>
  </si>
  <si>
    <t>Workbook formula</t>
  </si>
  <si>
    <t>Checks reported gross income to sum of visible gross-income components above.</t>
  </si>
  <si>
    <t>Banco Santander - Consolidated Balance Sheet</t>
  </si>
  <si>
    <t>EUR thousands, no decimals. Equity is shown in detail and retained earnings are separate from current-period net income attributable to owners of the parent.</t>
  </si>
  <si>
    <t>ASSETS</t>
  </si>
  <si>
    <t>Cash, balances at central banks and other demand deposits</t>
  </si>
  <si>
    <t>Banco Santander Consolidado 2025 2024.pdf; EURm x1,000 to EURk BS p.650.</t>
  </si>
  <si>
    <t>Extracted from the consolidated balance sheet; no cash flow statement values used.</t>
  </si>
  <si>
    <t>Financial assets held for trading</t>
  </si>
  <si>
    <t>Derivatives</t>
  </si>
  <si>
    <t>9,11</t>
  </si>
  <si>
    <t>Equity instruments</t>
  </si>
  <si>
    <t>8</t>
  </si>
  <si>
    <t>Debt securities</t>
  </si>
  <si>
    <t>7</t>
  </si>
  <si>
    <t>Loans and advances</t>
  </si>
  <si>
    <t>Central banks</t>
  </si>
  <si>
    <t>6</t>
  </si>
  <si>
    <t>Credit institutions</t>
  </si>
  <si>
    <t>Customers</t>
  </si>
  <si>
    <t>Financial assets not held for trading mandatorily at FVPL</t>
  </si>
  <si>
    <t>Financial assets designated at FVPL</t>
  </si>
  <si>
    <t>Financial assets at fair value through OCI</t>
  </si>
  <si>
    <t>Derivatives - hedge accounting</t>
  </si>
  <si>
    <t>36</t>
  </si>
  <si>
    <t>Fair value changes of hedged items in portfolio hedge of interest rate risk</t>
  </si>
  <si>
    <t>54</t>
  </si>
  <si>
    <t>Investments in joint ventures and associates</t>
  </si>
  <si>
    <t>Banco Santander Consolidado 2025 2024.pdf; EURm x1,000 to EURk BS p.651.</t>
  </si>
  <si>
    <t>Joint ventures</t>
  </si>
  <si>
    <t>Associates</t>
  </si>
  <si>
    <t>Reinsurance contract assets</t>
  </si>
  <si>
    <t>Property, plant and equipment</t>
  </si>
  <si>
    <t>For own use</t>
  </si>
  <si>
    <t>Leased under operating leases</t>
  </si>
  <si>
    <t>Investment properties</t>
  </si>
  <si>
    <t>Goodwill</t>
  </si>
  <si>
    <t>17</t>
  </si>
  <si>
    <t>Other intangible assets</t>
  </si>
  <si>
    <t>18</t>
  </si>
  <si>
    <t>Tax assets</t>
  </si>
  <si>
    <t>Current tax assets</t>
  </si>
  <si>
    <t>Deferred tax assets</t>
  </si>
  <si>
    <t>Other assets</t>
  </si>
  <si>
    <t>Insurance contracts linked to pensions</t>
  </si>
  <si>
    <t>14</t>
  </si>
  <si>
    <t>Inventories</t>
  </si>
  <si>
    <t>Remainder of other assets</t>
  </si>
  <si>
    <t>19</t>
  </si>
  <si>
    <t>Non-current assets and disposal groups classified as held for sale</t>
  </si>
  <si>
    <t>12</t>
  </si>
  <si>
    <t>TOTAL ASSETS</t>
  </si>
  <si>
    <t>LIABILITIES</t>
  </si>
  <si>
    <t>Financial liabilities held for trading</t>
  </si>
  <si>
    <t>Banco Santander Consolidado 2025 2024.pdf; EURm x1,000 to EURk BS p.652.</t>
  </si>
  <si>
    <t>Short positions</t>
  </si>
  <si>
    <t>9</t>
  </si>
  <si>
    <t>Deposits</t>
  </si>
  <si>
    <t>20</t>
  </si>
  <si>
    <t>21</t>
  </si>
  <si>
    <t>Financial liabilities designated at FVPL</t>
  </si>
  <si>
    <t>Debt securities issued</t>
  </si>
  <si>
    <t>22</t>
  </si>
  <si>
    <t>Other financial liabilities</t>
  </si>
  <si>
    <t>24</t>
  </si>
  <si>
    <t>Financial liabilities at amortised cost</t>
  </si>
  <si>
    <t>Memo: subordinated liabilities</t>
  </si>
  <si>
    <t>23</t>
  </si>
  <si>
    <t>Insurance contract liabilities</t>
  </si>
  <si>
    <t>15</t>
  </si>
  <si>
    <t>Provisions</t>
  </si>
  <si>
    <t>Pensions and other post-employment defined benefit obligations</t>
  </si>
  <si>
    <t>Other long-term employee benefits</t>
  </si>
  <si>
    <t>Pending tax litigation and proceedings</t>
  </si>
  <si>
    <t>Commitments and guarantees given</t>
  </si>
  <si>
    <t>Other provisions</t>
  </si>
  <si>
    <t>Tax liabilities</t>
  </si>
  <si>
    <t>Current tax liabilities</t>
  </si>
  <si>
    <t>Deferred tax liabilities</t>
  </si>
  <si>
    <t>Other liabilities</t>
  </si>
  <si>
    <t>26</t>
  </si>
  <si>
    <t>Liabilities included in disposal groups classified as held for sale</t>
  </si>
  <si>
    <t>TOTAL LIABILITIES</t>
  </si>
  <si>
    <t>EQUITY - DETAIL</t>
  </si>
  <si>
    <t>Shareholders' equity</t>
  </si>
  <si>
    <t>30</t>
  </si>
  <si>
    <t>Banco Santander Consolidado 2025 2024.pdf; EURm x1,000 to EURk BS p.653.</t>
  </si>
  <si>
    <t>Capital</t>
  </si>
  <si>
    <t>31</t>
  </si>
  <si>
    <t>Paid-in capital</t>
  </si>
  <si>
    <t>Uncalled capital</t>
  </si>
  <si>
    <t>Share premium</t>
  </si>
  <si>
    <t>32</t>
  </si>
  <si>
    <t>Equity instruments issued other than capital</t>
  </si>
  <si>
    <t>34</t>
  </si>
  <si>
    <t>Equity component of compound financial instruments</t>
  </si>
  <si>
    <t>Other equity instruments issued</t>
  </si>
  <si>
    <t>Other equity items</t>
  </si>
  <si>
    <t>Retained earnings</t>
  </si>
  <si>
    <t>33</t>
  </si>
  <si>
    <t>Revaluation reserves</t>
  </si>
  <si>
    <t>Other reserves</t>
  </si>
  <si>
    <t>Reserves/accumulated losses of investments in joint ventures and associates</t>
  </si>
  <si>
    <t>Other reserves - other</t>
  </si>
  <si>
    <t>Treasury shares</t>
  </si>
  <si>
    <t>Net income attributable to owners of the parent</t>
  </si>
  <si>
    <t>Interim dividends</t>
  </si>
  <si>
    <t>4</t>
  </si>
  <si>
    <t>Accumulated other comprehensive income</t>
  </si>
  <si>
    <t>29</t>
  </si>
  <si>
    <t>Items that will not be reclassified to profit or loss</t>
  </si>
  <si>
    <t>Items that may be reclassified to profit or loss</t>
  </si>
  <si>
    <t>Non-controlling interests</t>
  </si>
  <si>
    <t>Accumulated other comprehensive income - NCI</t>
  </si>
  <si>
    <t>Other NCI items</t>
  </si>
  <si>
    <t>TOTAL EQUITY</t>
  </si>
  <si>
    <t>TOTAL LIABILITIES AND EQUITY</t>
  </si>
  <si>
    <t>Banco Santander - Direct Cash Flow (Calculated Control View)</t>
  </si>
  <si>
    <t>Calculated from the P&amp;L and balance sheet tabs only. The unreconciled balance is intentionally included inside the cash-flow bridge so ending cash reconciles to the balance sheet without using the published cash flow statement.</t>
  </si>
  <si>
    <t>Formula type</t>
  </si>
  <si>
    <t>Source / input</t>
  </si>
  <si>
    <t>Control</t>
  </si>
  <si>
    <t>Methodology note</t>
  </si>
  <si>
    <t>Operating cash flow - source-backed accrual captions</t>
  </si>
  <si>
    <t>P&amp;L link</t>
  </si>
  <si>
    <t>P&amp;L</t>
  </si>
  <si>
    <t>Supportable accrual caption</t>
  </si>
  <si>
    <t>Direct cash receipts cannot be fully derived from P&amp;L and balance sheet alone; this row uses reported accrual income.</t>
  </si>
  <si>
    <t>Reported expense, not cash paid.</t>
  </si>
  <si>
    <t>Other operating income less expenses</t>
  </si>
  <si>
    <t>Formula</t>
  </si>
  <si>
    <t>Cash movement before unreconciled balance</t>
  </si>
  <si>
    <t>Preliminary bridge</t>
  </si>
  <si>
    <t>This is deliberately not labelled CFO because direct cash receipts/payments are not available from the requested source set.</t>
  </si>
  <si>
    <t>Unreconciled balance included in cash flow</t>
  </si>
  <si>
    <t>Included in ending balance</t>
  </si>
  <si>
    <t>Residual required to bridge source-backed accrual captions to the balance-sheet cash movement. This is part of total cash movement, not an external plug outside ending cash. It is not further reconciled because doing so would require cash-flow statement or note-level information outside the permitted source set.</t>
  </si>
  <si>
    <t>Total cash movement including unreconciled balance</t>
  </si>
  <si>
    <t>Ties to Balance Sheet movement</t>
  </si>
  <si>
    <t>Includes the unreconciled balance as requested.</t>
  </si>
  <si>
    <t>Balance-sheet movement control</t>
  </si>
  <si>
    <t>Opening cash and demand deposits</t>
  </si>
  <si>
    <t>BS link</t>
  </si>
  <si>
    <t>Balance Sheet</t>
  </si>
  <si>
    <t>Cash opening balance</t>
  </si>
  <si>
    <t>Ending cash balance from direct cash flow</t>
  </si>
  <si>
    <t>Calculated ending balance</t>
  </si>
  <si>
    <t>Opening cash plus total cash movement including unreconciled balance.</t>
  </si>
  <si>
    <t>Ending cash and demand deposits per balance sheet</t>
  </si>
  <si>
    <t>Cash ending balance</t>
  </si>
  <si>
    <t>Direct CF ending balance check</t>
  </si>
  <si>
    <t>Should be zero</t>
  </si>
  <si>
    <t>Ending cash from direct cash flow must equal the balance sheet cash line.</t>
  </si>
  <si>
    <t>Banco Santander - Indirect Cash Flow (Calculated from Net Income)</t>
  </si>
  <si>
    <t>Operating cash flow - indirect method</t>
  </si>
  <si>
    <t>Starting point</t>
  </si>
  <si>
    <t>Starts from net income, as requested.</t>
  </si>
  <si>
    <t>Add back: depreciation and amortisation</t>
  </si>
  <si>
    <t>Non-cash addback proxy</t>
  </si>
  <si>
    <t>Uses P&amp;L amortisation/depreciation caption.</t>
  </si>
  <si>
    <t>Add back: provisions or reversal of provisions</t>
  </si>
  <si>
    <t>Classification may differ from statutory CFO without note-level cash information.</t>
  </si>
  <si>
    <t>Add back: impairment on financial assets</t>
  </si>
  <si>
    <t>Add back: impairment on non-financial assets</t>
  </si>
  <si>
    <t>Less: share of results of equity-accounted entities</t>
  </si>
  <si>
    <t>Non-cash/subsidiary boundary proxy</t>
  </si>
  <si>
    <t>Working capital / operating balance-sheet movements - selected assets</t>
  </si>
  <si>
    <t>Calculated movement</t>
  </si>
  <si>
    <t>Increase in selected operating assets is a use of cash.</t>
  </si>
  <si>
    <t>Working capital / operating balance-sheet movements - selected liabilities</t>
  </si>
  <si>
    <t>Increase in selected operating liabilities is a source of cash.</t>
  </si>
  <si>
    <t>Calculated operating cash flow before classification gap</t>
  </si>
  <si>
    <t>Subtotal</t>
  </si>
  <si>
    <t>Investing / financing / balance-sheet movement bridge</t>
  </si>
  <si>
    <t>Financial assets excluding cash</t>
  </si>
  <si>
    <t>Banking balance sheet movement; not force-classified into CFO/CFI.</t>
  </si>
  <si>
    <t>Investments in associates, tangible and intangible assets</t>
  </si>
  <si>
    <t>Includes non-cash and perimeter effects unless separately disclosed.</t>
  </si>
  <si>
    <t>Held-for-sale assets/liabilities net movement</t>
  </si>
  <si>
    <t>Large 2025 movement is visible rather than manually normalised.</t>
  </si>
  <si>
    <t>Financial liabilities</t>
  </si>
  <si>
    <t>Increase in liabilities is a source of cash.</t>
  </si>
  <si>
    <t>Equity movement excluding current net income</t>
  </si>
  <si>
    <t>Balance Sheet + P&amp;L</t>
  </si>
  <si>
    <t>Keeps retained earnings and net income separate; includes dividends, OCI, buybacks, NCI and other equity movements.</t>
  </si>
  <si>
    <t>Residual required to bridge the calculated indirect cash flow to the balance-sheet cash movement. This is part of total cash movement, not an external plug outside ending cash.</t>
  </si>
  <si>
    <t>Ending cash balance from indirect cash flow</t>
  </si>
  <si>
    <t>Indirect CF ending balance check</t>
  </si>
  <si>
    <t>Ending cash from indirect cash flow must equal the balance sheet cash line.</t>
  </si>
  <si>
    <t>Workbook Checks</t>
  </si>
  <si>
    <t>Formula-driven controls. PASS means the extracted statements and calculated tabs tie to their stated source/check logic; red rows identify source limitations or unreconciled balances.</t>
  </si>
  <si>
    <t>Check</t>
  </si>
  <si>
    <t>Tolerance</t>
  </si>
  <si>
    <t>Status</t>
  </si>
  <si>
    <t>Notes</t>
  </si>
  <si>
    <t>Balance sheet balances</t>
  </si>
  <si>
    <t>Total assets less total liabilities and equity.</t>
  </si>
  <si>
    <t>Equity detail ties to total equity</t>
  </si>
  <si>
    <t>Reported equity line compared with detailed equity line.</t>
  </si>
  <si>
    <t>Retained earnings separate from net income</t>
  </si>
  <si>
    <t>Retained earnings and current net income are separate source rows on Balance Sheet tab.</t>
  </si>
  <si>
    <t>P&amp;L net income attributable tie-out</t>
  </si>
  <si>
    <t>Net income equals owners plus NCI.</t>
  </si>
  <si>
    <t>Direct CF ending balance ties to balance sheet</t>
  </si>
  <si>
    <t>Ending cash from Direct CF equals the balance sheet cash line after including unreconciled balance in total cash movement.</t>
  </si>
  <si>
    <t>Indirect CF ending balance ties to balance sheet</t>
  </si>
  <si>
    <t>Ending cash from Indirect CF equals the balance sheet cash line after including unreconciled balance in total cash movement.</t>
  </si>
  <si>
    <t>Direct unreconciled balance is included in cash movement</t>
  </si>
  <si>
    <t>Total cash movement equals preliminary direct bridge plus unreconciled balance.</t>
  </si>
  <si>
    <t>Indirect unreconciled balance is included in cash movement</t>
  </si>
  <si>
    <t>Total cash movement equals preliminary indirect bridge plus unreconciled balance.</t>
  </si>
  <si>
    <t>No manual cash-flow plug used</t>
  </si>
  <si>
    <t>No cash flow line is hardcoded to force a reconciliation.</t>
  </si>
  <si>
    <t>Source units converted to EUR thousands</t>
  </si>
  <si>
    <t>Source PDF is EUR millions; workbook reports EUR thousands.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</si>
</sst>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6">
    <font>
      <sz val="11"/>
      <name val="Carlito"/>
    </font>
    <font>
      <b/>
      <sz val="10"/>
      <color rgb="FF000000"/>
      <name val="Arial"/>
      <family val="2"/>
    </font>
    <font>
      <sz val="10"/>
      <color rgb="FF000000"/>
      <name val="Arial"/>
      <family val="2"/>
    </font>
    <font>
      <i/>
      <sz val="10"/>
      <color rgb="FF000000"/>
      <name val="Arial"/>
      <family val="2"/>
    </font>
    <font>
      <b/>
      <sz val="10"/>
      <color rgb="FF17365D"/>
      <name val="Arial"/>
      <family val="2"/>
    </font>
    <font>
      <b/>
      <sz val="10"/>
      <color rgb="FFC00000"/>
      <name val="Arial"/>
      <family val="2"/>
    </font>
  </fonts>
  <fills count="2">
    <fill>
      <patternFill patternType="none"/>
    </fill>
    <fill>
      <patternFill patternType="gray125"/>
    </fill>
  </fills>
  <borders count="6">
    <border>
      <left/>
      <right/>
      <top/>
      <bottom/>
      <diagonal/>
    </border>
    <border>
      <left/>
      <right/>
      <top/>
      <bottom style="thin">
        <color rgb="FFD9E2F3"/>
      </bottom>
      <diagonal/>
    </border>
    <border>
      <left/>
      <right/>
      <top style="thin">
        <color rgb="FFD9E2F3"/>
      </top>
      <bottom style="thin">
        <color rgb="FFD9E2F3"/>
      </bottom>
      <diagonal/>
    </border>
    <border>
      <left/>
      <right/>
      <top style="thin">
        <color rgb="FFBFBFBF"/>
      </top>
      <bottom style="thin">
        <color rgb="FFD9E2F3"/>
      </bottom>
      <diagonal/>
    </border>
    <border>
      <left/>
      <right/>
      <top style="medium">
        <color rgb="FF808080"/>
      </top>
      <bottom style="medium">
        <color rgb="FF808080"/>
      </bottom>
      <diagonal/>
    </border>
    <border>
      <left/>
      <right/>
      <top style="thin">
        <color rgb="FFBFBFBF"/>
      </top>
      <bottom/>
      <diagonal/>
    </border>
  </borders>
  <cellStyleXfs count="1">
    <xf numFmtId="0" fontId="0" fillId="0" borderId="0"/>
  </cellStyleXfs>
  <cellXfs count="32">
    <xf numFmtId="0" fontId="0" fillId="0" borderId="0" xfId="0"/>
    <xf numFmtId="0" fontId="2" fillId="0" borderId="0" xfId="0" applyFont="1"/>
    <xf numFmtId="0" fontId="3" fillId="0" borderId="0" xfId="0" applyFont="1" applyAlignment="1">
      <alignment wrapText="1"/>
    </xf>
    <xf numFmtId="0" fontId="4" fillId="0" borderId="1" xfId="0" applyFont="1" applyBorder="1"/>
    <xf numFmtId="164" fontId="0" fillId="0" borderId="0" xfId="0" applyNumberFormat="1"/>
    <xf numFmtId="0" fontId="0" fillId="0" borderId="0" xfId="0" applyAlignment="1">
      <alignment wrapText="1"/>
    </xf>
    <xf numFmtId="0" fontId="2" fillId="0" borderId="2" xfId="0" applyFont="1" applyBorder="1" applyAlignment="1">
      <alignment wrapText="1"/>
    </xf>
    <xf numFmtId="0" fontId="1" fillId="0" borderId="3" xfId="0" applyFont="1" applyBorder="1" applyAlignment="1">
      <alignment wrapText="1"/>
    </xf>
    <xf numFmtId="0" fontId="4" fillId="0" borderId="2" xfId="0" applyFont="1" applyBorder="1" applyAlignment="1">
      <alignment wrapText="1"/>
    </xf>
    <xf numFmtId="0" fontId="1" fillId="0" borderId="4" xfId="0" applyFont="1" applyBorder="1" applyAlignment="1">
      <alignment wrapText="1"/>
    </xf>
    <xf numFmtId="0" fontId="2" fillId="0" borderId="0" xfId="0" applyFont="1" applyAlignment="1">
      <alignment wrapText="1"/>
    </xf>
    <xf numFmtId="0" fontId="5" fillId="0" borderId="2" xfId="0" applyFont="1" applyBorder="1" applyAlignment="1">
      <alignment wrapText="1"/>
    </xf>
    <xf numFmtId="0" fontId="4" fillId="0" borderId="1" xfId="0" applyFont="1" applyBorder="1" applyAlignment="1">
      <alignment wrapText="1"/>
    </xf>
    <xf numFmtId="164" fontId="1" fillId="0" borderId="3" xfId="0" applyNumberFormat="1" applyFont="1" applyBorder="1" applyAlignment="1">
      <alignment wrapText="1"/>
    </xf>
    <xf numFmtId="0" fontId="3" fillId="0" borderId="2" xfId="0" applyFont="1" applyBorder="1" applyAlignment="1">
      <alignment wrapText="1"/>
    </xf>
    <xf numFmtId="164" fontId="2" fillId="0" borderId="2" xfId="0" applyNumberFormat="1" applyFont="1" applyBorder="1" applyAlignment="1">
      <alignment wrapText="1"/>
    </xf>
    <xf numFmtId="164" fontId="4" fillId="0" borderId="2" xfId="0" applyNumberFormat="1" applyFont="1" applyBorder="1" applyAlignment="1">
      <alignment wrapText="1"/>
    </xf>
    <xf numFmtId="164" fontId="1" fillId="0" borderId="4" xfId="0" applyNumberFormat="1" applyFont="1" applyBorder="1" applyAlignment="1">
      <alignment wrapText="1"/>
    </xf>
    <xf numFmtId="164" fontId="2" fillId="0" borderId="0" xfId="0" applyNumberFormat="1" applyFont="1" applyAlignment="1">
      <alignment wrapText="1"/>
    </xf>
    <xf numFmtId="0" fontId="4" fillId="0" borderId="0" xfId="0" applyFont="1" applyAlignment="1">
      <alignment wrapText="1"/>
    </xf>
    <xf numFmtId="164" fontId="4" fillId="0" borderId="0" xfId="0" applyNumberFormat="1" applyFont="1" applyAlignment="1">
      <alignment wrapText="1"/>
    </xf>
    <xf numFmtId="0" fontId="1" fillId="0" borderId="5" xfId="0" applyFont="1" applyBorder="1" applyAlignment="1">
      <alignment wrapText="1"/>
    </xf>
    <xf numFmtId="164" fontId="1" fillId="0" borderId="5" xfId="0" applyNumberFormat="1" applyFont="1" applyBorder="1" applyAlignment="1">
      <alignment wrapText="1"/>
    </xf>
    <xf numFmtId="0" fontId="5" fillId="0" borderId="4" xfId="0" applyFont="1" applyBorder="1" applyAlignment="1">
      <alignment wrapText="1"/>
    </xf>
    <xf numFmtId="164" fontId="5" fillId="0" borderId="4" xfId="0" applyNumberFormat="1" applyFont="1" applyBorder="1" applyAlignment="1">
      <alignment wrapText="1"/>
    </xf>
    <xf numFmtId="164" fontId="5" fillId="0" borderId="2" xfId="0" applyNumberFormat="1" applyFont="1" applyBorder="1" applyAlignment="1">
      <alignment wrapText="1"/>
    </xf>
    <xf numFmtId="0" fontId="1" fillId="0" borderId="0" xfId="0" applyFont="1"/>
    <xf numFmtId="0" fontId="2" fillId="0" borderId="0" xfId="0" applyFont="1"/>
    <xf numFmtId="0" fontId="3" fillId="0" borderId="0" xfId="0" applyFont="1" applyAlignment="1">
      <alignment wrapText="1"/>
    </xf>
    <xf numFmtId="0" fontId="1" fillId="0" borderId="0" xfId="0" applyFont="1" applyAlignment="1">
      <alignment wrapText="1"/>
    </xf>
    <xf numFmtId="0" fontId="2" fillId="0" borderId="0" xfId="0" applyFont="1" applyAlignment="1">
      <alignment wrapText="1"/>
    </xf>
    <xf numFmtId="164" fontId="2"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showGridLines="0" workbookViewId="0">
      <selection sqref="A1:B1"/>
    </sheetView>
  </sheetViews>
  <sheetFormatPr baseColWidth="10" defaultColWidth="8.83203125" defaultRowHeight="14"/>
  <cols>
    <col min="1" max="1" width="28" customWidth="1"/>
    <col min="2" max="2" width="120" customWidth="1"/>
    <col min="3" max="5" width="15" customWidth="1"/>
    <col min="6" max="6" width="32" customWidth="1"/>
    <col min="7" max="7" width="52" customWidth="1"/>
  </cols>
  <sheetData>
    <row r="1" spans="1:7">
      <c r="A1" s="26" t="s">
        <v>0</v>
      </c>
      <c r="B1" s="27"/>
    </row>
    <row r="2" spans="1:7">
      <c r="A2" s="28" t="s">
        <v>1</v>
      </c>
      <c r="B2" s="27"/>
    </row>
    <row r="3" spans="1:7">
      <c r="A3" s="1"/>
      <c r="B3" s="1"/>
    </row>
    <row r="4" spans="1:7">
      <c r="A4" s="3" t="s">
        <v>2</v>
      </c>
      <c r="B4" s="3" t="s">
        <v>3</v>
      </c>
    </row>
    <row r="5" spans="1:7" ht="28">
      <c r="A5" s="6" t="s">
        <v>4</v>
      </c>
      <c r="B5" s="6" t="s">
        <v>5</v>
      </c>
      <c r="C5" s="4"/>
      <c r="D5" s="4"/>
      <c r="E5" s="4"/>
      <c r="F5" s="5"/>
      <c r="G5" s="5"/>
    </row>
    <row r="6" spans="1:7">
      <c r="A6" s="6" t="s">
        <v>6</v>
      </c>
      <c r="B6" s="6" t="s">
        <v>7</v>
      </c>
      <c r="C6" s="4"/>
      <c r="D6" s="4"/>
      <c r="E6" s="4"/>
      <c r="F6" s="5"/>
      <c r="G6" s="5"/>
    </row>
    <row r="7" spans="1:7" ht="28">
      <c r="A7" s="6" t="s">
        <v>8</v>
      </c>
      <c r="B7" s="6" t="s">
        <v>9</v>
      </c>
      <c r="C7" s="4"/>
      <c r="D7" s="4"/>
      <c r="E7" s="4"/>
      <c r="F7" s="5"/>
      <c r="G7" s="5"/>
    </row>
    <row r="8" spans="1:7" ht="42">
      <c r="A8" s="6" t="s">
        <v>10</v>
      </c>
      <c r="B8" s="6" t="s">
        <v>11</v>
      </c>
      <c r="C8" s="4"/>
      <c r="D8" s="4"/>
      <c r="E8" s="4"/>
      <c r="F8" s="5"/>
      <c r="G8" s="5"/>
    </row>
    <row r="9" spans="1:7" ht="28">
      <c r="A9" s="6" t="s">
        <v>12</v>
      </c>
      <c r="B9" s="6" t="s">
        <v>13</v>
      </c>
      <c r="C9" s="4"/>
      <c r="D9" s="4"/>
      <c r="E9" s="4"/>
      <c r="F9" s="5"/>
      <c r="G9" s="5"/>
    </row>
    <row r="10" spans="1:7">
      <c r="A10" s="6" t="s">
        <v>14</v>
      </c>
      <c r="B10" s="6" t="s">
        <v>15</v>
      </c>
      <c r="C10" s="4"/>
      <c r="D10" s="4"/>
      <c r="E10" s="4"/>
      <c r="F10" s="5"/>
      <c r="G10" s="5"/>
    </row>
    <row r="11" spans="1:7">
      <c r="A11" s="6" t="s">
        <v>16</v>
      </c>
      <c r="B11" s="6" t="s">
        <v>17</v>
      </c>
      <c r="C11" s="4"/>
      <c r="D11" s="4"/>
      <c r="E11" s="4"/>
      <c r="F11" s="5"/>
      <c r="G11" s="5"/>
    </row>
    <row r="12" spans="1:7" ht="28">
      <c r="A12" s="6" t="s">
        <v>18</v>
      </c>
      <c r="B12" s="6" t="s">
        <v>19</v>
      </c>
      <c r="C12" s="4"/>
      <c r="D12" s="4"/>
      <c r="E12" s="4"/>
      <c r="F12" s="5"/>
      <c r="G12" s="5"/>
    </row>
    <row r="13" spans="1:7" ht="42">
      <c r="A13" s="6" t="s">
        <v>20</v>
      </c>
      <c r="B13" s="6" t="s">
        <v>21</v>
      </c>
      <c r="C13" s="4"/>
      <c r="D13" s="4"/>
      <c r="E13" s="4"/>
      <c r="F13" s="5"/>
      <c r="G13" s="5"/>
    </row>
  </sheetData>
  <mergeCells count="2">
    <mergeCell ref="A1:B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4"/>
  <sheetViews>
    <sheetView showGridLines="0" workbookViewId="0"/>
  </sheetViews>
  <sheetFormatPr baseColWidth="10" defaultColWidth="8.83203125" defaultRowHeight="14"/>
  <cols>
    <col min="1" max="1" width="46" customWidth="1"/>
    <col min="2" max="2" width="9" customWidth="1"/>
    <col min="3" max="5" width="15" customWidth="1"/>
    <col min="6" max="6" width="32" customWidth="1"/>
    <col min="7" max="7" width="52" customWidth="1"/>
  </cols>
  <sheetData>
    <row r="1" spans="1:7">
      <c r="A1" s="29" t="s">
        <v>22</v>
      </c>
      <c r="B1" s="30"/>
      <c r="C1" s="30"/>
      <c r="D1" s="30"/>
      <c r="E1" s="30"/>
      <c r="F1" s="30"/>
      <c r="G1" s="30"/>
    </row>
    <row r="2" spans="1:7">
      <c r="A2" s="28" t="s">
        <v>23</v>
      </c>
      <c r="B2" s="30"/>
      <c r="C2" s="30"/>
      <c r="D2" s="30"/>
      <c r="E2" s="30"/>
      <c r="F2" s="30"/>
      <c r="G2" s="30"/>
    </row>
    <row r="3" spans="1:7">
      <c r="A3" s="10"/>
      <c r="B3" s="10"/>
      <c r="C3" s="10"/>
      <c r="D3" s="10"/>
      <c r="E3" s="10"/>
      <c r="F3" s="10"/>
      <c r="G3" s="10"/>
    </row>
    <row r="4" spans="1:7">
      <c r="A4" s="12" t="s">
        <v>24</v>
      </c>
      <c r="B4" s="12" t="s">
        <v>25</v>
      </c>
      <c r="C4" s="12" t="s">
        <v>26</v>
      </c>
      <c r="D4" s="12" t="s">
        <v>27</v>
      </c>
      <c r="E4" s="12" t="s">
        <v>28</v>
      </c>
      <c r="F4" s="12" t="s">
        <v>29</v>
      </c>
      <c r="G4" s="12" t="s">
        <v>30</v>
      </c>
    </row>
    <row r="5" spans="1:7" ht="42">
      <c r="A5" s="7" t="s">
        <v>31</v>
      </c>
      <c r="B5" s="7" t="s">
        <v>32</v>
      </c>
      <c r="C5" s="13">
        <v>101710000</v>
      </c>
      <c r="D5" s="13">
        <v>109012000</v>
      </c>
      <c r="E5" s="13">
        <v>101742000</v>
      </c>
      <c r="F5" s="7" t="s">
        <v>33</v>
      </c>
      <c r="G5" s="7" t="s">
        <v>34</v>
      </c>
    </row>
    <row r="6" spans="1:7" ht="42">
      <c r="A6" s="14" t="s">
        <v>35</v>
      </c>
      <c r="B6" s="6"/>
      <c r="C6" s="15">
        <v>5713000</v>
      </c>
      <c r="D6" s="15">
        <v>6931000</v>
      </c>
      <c r="E6" s="15">
        <v>5533000</v>
      </c>
      <c r="F6" s="6" t="s">
        <v>33</v>
      </c>
      <c r="G6" s="6" t="s">
        <v>34</v>
      </c>
    </row>
    <row r="7" spans="1:7" ht="42">
      <c r="A7" s="14" t="s">
        <v>36</v>
      </c>
      <c r="B7" s="6"/>
      <c r="C7" s="15">
        <v>76248000</v>
      </c>
      <c r="D7" s="15">
        <v>80992000</v>
      </c>
      <c r="E7" s="15">
        <v>74799000</v>
      </c>
      <c r="F7" s="6" t="s">
        <v>33</v>
      </c>
      <c r="G7" s="6" t="s">
        <v>34</v>
      </c>
    </row>
    <row r="8" spans="1:7" ht="42">
      <c r="A8" s="14" t="s">
        <v>37</v>
      </c>
      <c r="B8" s="6"/>
      <c r="C8" s="15">
        <v>19749000</v>
      </c>
      <c r="D8" s="15">
        <v>21089000</v>
      </c>
      <c r="E8" s="15">
        <v>21410000</v>
      </c>
      <c r="F8" s="6" t="s">
        <v>33</v>
      </c>
      <c r="G8" s="6" t="s">
        <v>34</v>
      </c>
    </row>
    <row r="9" spans="1:7" ht="42">
      <c r="A9" s="7" t="s">
        <v>38</v>
      </c>
      <c r="B9" s="7" t="s">
        <v>39</v>
      </c>
      <c r="C9" s="13">
        <v>-59362000</v>
      </c>
      <c r="D9" s="13">
        <v>-65225000</v>
      </c>
      <c r="E9" s="13">
        <v>-61092000</v>
      </c>
      <c r="F9" s="7" t="s">
        <v>33</v>
      </c>
      <c r="G9" s="7" t="s">
        <v>34</v>
      </c>
    </row>
    <row r="10" spans="1:7" ht="42">
      <c r="A10" s="7" t="s">
        <v>40</v>
      </c>
      <c r="B10" s="7"/>
      <c r="C10" s="13">
        <v>42348000</v>
      </c>
      <c r="D10" s="13">
        <v>43787000</v>
      </c>
      <c r="E10" s="13">
        <v>40650000</v>
      </c>
      <c r="F10" s="7" t="s">
        <v>33</v>
      </c>
      <c r="G10" s="7" t="s">
        <v>34</v>
      </c>
    </row>
    <row r="11" spans="1:7" ht="42">
      <c r="A11" s="7" t="s">
        <v>41</v>
      </c>
      <c r="B11" s="7" t="s">
        <v>42</v>
      </c>
      <c r="C11" s="13">
        <v>715000</v>
      </c>
      <c r="D11" s="13">
        <v>710000</v>
      </c>
      <c r="E11" s="13">
        <v>568000</v>
      </c>
      <c r="F11" s="7" t="s">
        <v>33</v>
      </c>
      <c r="G11" s="7" t="s">
        <v>34</v>
      </c>
    </row>
    <row r="12" spans="1:7" ht="42">
      <c r="A12" s="7" t="s">
        <v>43</v>
      </c>
      <c r="B12" s="7" t="s">
        <v>44</v>
      </c>
      <c r="C12" s="13">
        <v>665000</v>
      </c>
      <c r="D12" s="13">
        <v>687000</v>
      </c>
      <c r="E12" s="13">
        <v>591000</v>
      </c>
      <c r="F12" s="7" t="s">
        <v>33</v>
      </c>
      <c r="G12" s="7" t="s">
        <v>34</v>
      </c>
    </row>
    <row r="13" spans="1:7" ht="42">
      <c r="A13" s="7" t="s">
        <v>45</v>
      </c>
      <c r="B13" s="7" t="s">
        <v>46</v>
      </c>
      <c r="C13" s="13">
        <v>17387000</v>
      </c>
      <c r="D13" s="13">
        <v>16834000</v>
      </c>
      <c r="E13" s="13">
        <v>15644000</v>
      </c>
      <c r="F13" s="7" t="s">
        <v>33</v>
      </c>
      <c r="G13" s="7" t="s">
        <v>34</v>
      </c>
    </row>
    <row r="14" spans="1:7" ht="42">
      <c r="A14" s="7" t="s">
        <v>47</v>
      </c>
      <c r="B14" s="7" t="s">
        <v>48</v>
      </c>
      <c r="C14" s="13">
        <v>-4411000</v>
      </c>
      <c r="D14" s="13">
        <v>-4458000</v>
      </c>
      <c r="E14" s="13">
        <v>-4149000</v>
      </c>
      <c r="F14" s="7" t="s">
        <v>33</v>
      </c>
      <c r="G14" s="7" t="s">
        <v>34</v>
      </c>
    </row>
    <row r="15" spans="1:7" ht="42">
      <c r="A15" s="7" t="s">
        <v>49</v>
      </c>
      <c r="B15" s="7" t="s">
        <v>50</v>
      </c>
      <c r="C15" s="13">
        <v>127000</v>
      </c>
      <c r="D15" s="13">
        <v>-117000</v>
      </c>
      <c r="E15" s="13">
        <v>96000</v>
      </c>
      <c r="F15" s="7" t="s">
        <v>33</v>
      </c>
      <c r="G15" s="7" t="s">
        <v>34</v>
      </c>
    </row>
    <row r="16" spans="1:7" ht="42">
      <c r="A16" s="14" t="s">
        <v>36</v>
      </c>
      <c r="B16" s="6"/>
      <c r="C16" s="15">
        <v>-89000</v>
      </c>
      <c r="D16" s="15">
        <v>-190000</v>
      </c>
      <c r="E16" s="15">
        <v>-3000</v>
      </c>
      <c r="F16" s="6" t="s">
        <v>33</v>
      </c>
      <c r="G16" s="6" t="s">
        <v>34</v>
      </c>
    </row>
    <row r="17" spans="1:7" ht="42">
      <c r="A17" s="14" t="s">
        <v>51</v>
      </c>
      <c r="B17" s="6"/>
      <c r="C17" s="15">
        <v>216000</v>
      </c>
      <c r="D17" s="15">
        <v>73000</v>
      </c>
      <c r="E17" s="15">
        <v>99000</v>
      </c>
      <c r="F17" s="6" t="s">
        <v>33</v>
      </c>
      <c r="G17" s="6" t="s">
        <v>34</v>
      </c>
    </row>
    <row r="18" spans="1:7" ht="42">
      <c r="A18" s="7" t="s">
        <v>52</v>
      </c>
      <c r="B18" s="7" t="s">
        <v>50</v>
      </c>
      <c r="C18" s="13">
        <v>1017000</v>
      </c>
      <c r="D18" s="13">
        <v>1344000</v>
      </c>
      <c r="E18" s="13">
        <v>2316000</v>
      </c>
      <c r="F18" s="7" t="s">
        <v>33</v>
      </c>
      <c r="G18" s="7" t="s">
        <v>34</v>
      </c>
    </row>
    <row r="19" spans="1:7" ht="42">
      <c r="A19" s="14" t="s">
        <v>53</v>
      </c>
      <c r="B19" s="6"/>
      <c r="C19" s="15">
        <v>1017000</v>
      </c>
      <c r="D19" s="15">
        <v>1344000</v>
      </c>
      <c r="E19" s="15">
        <v>2316000</v>
      </c>
      <c r="F19" s="6" t="s">
        <v>33</v>
      </c>
      <c r="G19" s="6" t="s">
        <v>34</v>
      </c>
    </row>
    <row r="20" spans="1:7" ht="42">
      <c r="A20" s="7" t="s">
        <v>54</v>
      </c>
      <c r="B20" s="7" t="s">
        <v>50</v>
      </c>
      <c r="C20" s="13">
        <v>1106000</v>
      </c>
      <c r="D20" s="13">
        <v>495000</v>
      </c>
      <c r="E20" s="13">
        <v>198000</v>
      </c>
      <c r="F20" s="7" t="s">
        <v>33</v>
      </c>
      <c r="G20" s="7" t="s">
        <v>34</v>
      </c>
    </row>
    <row r="21" spans="1:7" ht="42">
      <c r="A21" s="14" t="s">
        <v>55</v>
      </c>
      <c r="B21" s="6"/>
      <c r="C21" s="15">
        <v>1106000</v>
      </c>
      <c r="D21" s="15">
        <v>495000</v>
      </c>
      <c r="E21" s="15">
        <v>198000</v>
      </c>
      <c r="F21" s="6" t="s">
        <v>33</v>
      </c>
      <c r="G21" s="6" t="s">
        <v>34</v>
      </c>
    </row>
    <row r="22" spans="1:7" ht="42">
      <c r="A22" s="7" t="s">
        <v>56</v>
      </c>
      <c r="B22" s="7" t="s">
        <v>50</v>
      </c>
      <c r="C22" s="13">
        <v>-307000</v>
      </c>
      <c r="D22" s="13">
        <v>691000</v>
      </c>
      <c r="E22" s="13">
        <v>-92000</v>
      </c>
      <c r="F22" s="7" t="s">
        <v>33</v>
      </c>
      <c r="G22" s="7" t="s">
        <v>34</v>
      </c>
    </row>
    <row r="23" spans="1:7" ht="42">
      <c r="A23" s="7" t="s">
        <v>57</v>
      </c>
      <c r="B23" s="7" t="s">
        <v>50</v>
      </c>
      <c r="C23" s="13">
        <v>12000</v>
      </c>
      <c r="D23" s="13">
        <v>14000</v>
      </c>
      <c r="E23" s="13">
        <v>69000</v>
      </c>
      <c r="F23" s="7" t="s">
        <v>33</v>
      </c>
      <c r="G23" s="7" t="s">
        <v>34</v>
      </c>
    </row>
    <row r="24" spans="1:7" ht="42">
      <c r="A24" s="7" t="s">
        <v>58</v>
      </c>
      <c r="B24" s="7" t="s">
        <v>59</v>
      </c>
      <c r="C24" s="13">
        <v>407000</v>
      </c>
      <c r="D24" s="13">
        <v>-216000</v>
      </c>
      <c r="E24" s="13">
        <v>-22000</v>
      </c>
      <c r="F24" s="7" t="s">
        <v>33</v>
      </c>
      <c r="G24" s="7" t="s">
        <v>34</v>
      </c>
    </row>
    <row r="25" spans="1:7" ht="42">
      <c r="A25" s="7" t="s">
        <v>60</v>
      </c>
      <c r="B25" s="7" t="s">
        <v>61</v>
      </c>
      <c r="C25" s="13">
        <v>1583000</v>
      </c>
      <c r="D25" s="13">
        <v>846000</v>
      </c>
      <c r="E25" s="13">
        <v>1137000</v>
      </c>
      <c r="F25" s="7" t="s">
        <v>33</v>
      </c>
      <c r="G25" s="7" t="s">
        <v>34</v>
      </c>
    </row>
    <row r="26" spans="1:7" ht="42">
      <c r="A26" s="7" t="s">
        <v>62</v>
      </c>
      <c r="B26" s="7" t="s">
        <v>61</v>
      </c>
      <c r="C26" s="13">
        <v>-2070000</v>
      </c>
      <c r="D26" s="13">
        <v>-2258000</v>
      </c>
      <c r="E26" s="13">
        <v>-2766000</v>
      </c>
      <c r="F26" s="7" t="s">
        <v>33</v>
      </c>
      <c r="G26" s="7" t="s">
        <v>34</v>
      </c>
    </row>
    <row r="27" spans="1:7" ht="42">
      <c r="A27" s="7" t="s">
        <v>63</v>
      </c>
      <c r="B27" s="7"/>
      <c r="C27" s="13">
        <v>476000</v>
      </c>
      <c r="D27" s="13">
        <v>470000</v>
      </c>
      <c r="E27" s="13">
        <v>460000</v>
      </c>
      <c r="F27" s="7" t="s">
        <v>33</v>
      </c>
      <c r="G27" s="7" t="s">
        <v>34</v>
      </c>
    </row>
    <row r="28" spans="1:7" ht="42">
      <c r="A28" s="7" t="s">
        <v>64</v>
      </c>
      <c r="B28" s="7"/>
      <c r="C28" s="13">
        <v>-385000</v>
      </c>
      <c r="D28" s="13">
        <v>-449000</v>
      </c>
      <c r="E28" s="13">
        <v>-449000</v>
      </c>
      <c r="F28" s="7" t="s">
        <v>33</v>
      </c>
      <c r="G28" s="7" t="s">
        <v>34</v>
      </c>
    </row>
    <row r="29" spans="1:7" ht="42">
      <c r="A29" s="7" t="s">
        <v>65</v>
      </c>
      <c r="B29" s="7"/>
      <c r="C29" s="13">
        <v>58670000</v>
      </c>
      <c r="D29" s="13">
        <v>58380000</v>
      </c>
      <c r="E29" s="13">
        <v>54251000</v>
      </c>
      <c r="F29" s="7" t="s">
        <v>66</v>
      </c>
      <c r="G29" s="7" t="s">
        <v>34</v>
      </c>
    </row>
    <row r="30" spans="1:7" ht="42">
      <c r="A30" s="7" t="s">
        <v>67</v>
      </c>
      <c r="B30" s="7"/>
      <c r="C30" s="13">
        <v>-21533000</v>
      </c>
      <c r="D30" s="13">
        <v>-21970000</v>
      </c>
      <c r="E30" s="13">
        <v>-21546000</v>
      </c>
      <c r="F30" s="7" t="s">
        <v>66</v>
      </c>
      <c r="G30" s="7" t="s">
        <v>34</v>
      </c>
    </row>
    <row r="31" spans="1:7" ht="42">
      <c r="A31" s="14" t="s">
        <v>68</v>
      </c>
      <c r="B31" s="6" t="s">
        <v>69</v>
      </c>
      <c r="C31" s="15">
        <v>-13633000</v>
      </c>
      <c r="D31" s="15">
        <v>-13825000</v>
      </c>
      <c r="E31" s="15">
        <v>-13275000</v>
      </c>
      <c r="F31" s="6" t="s">
        <v>66</v>
      </c>
      <c r="G31" s="6" t="s">
        <v>34</v>
      </c>
    </row>
    <row r="32" spans="1:7" ht="42">
      <c r="A32" s="14" t="s">
        <v>70</v>
      </c>
      <c r="B32" s="6" t="s">
        <v>71</v>
      </c>
      <c r="C32" s="15">
        <v>-7900000</v>
      </c>
      <c r="D32" s="15">
        <v>-8145000</v>
      </c>
      <c r="E32" s="15">
        <v>-8271000</v>
      </c>
      <c r="F32" s="6" t="s">
        <v>66</v>
      </c>
      <c r="G32" s="6" t="s">
        <v>34</v>
      </c>
    </row>
    <row r="33" spans="1:7" ht="42">
      <c r="A33" s="7" t="s">
        <v>72</v>
      </c>
      <c r="B33" s="7" t="s">
        <v>73</v>
      </c>
      <c r="C33" s="13">
        <v>-3178000</v>
      </c>
      <c r="D33" s="13">
        <v>-3179000</v>
      </c>
      <c r="E33" s="13">
        <v>-3086000</v>
      </c>
      <c r="F33" s="7" t="s">
        <v>66</v>
      </c>
      <c r="G33" s="7" t="s">
        <v>34</v>
      </c>
    </row>
    <row r="34" spans="1:7" ht="42">
      <c r="A34" s="7" t="s">
        <v>74</v>
      </c>
      <c r="B34" s="7" t="s">
        <v>75</v>
      </c>
      <c r="C34" s="13">
        <v>-2729000</v>
      </c>
      <c r="D34" s="13">
        <v>-3465000</v>
      </c>
      <c r="E34" s="13">
        <v>-2410000</v>
      </c>
      <c r="F34" s="7" t="s">
        <v>66</v>
      </c>
      <c r="G34" s="7" t="s">
        <v>34</v>
      </c>
    </row>
    <row r="35" spans="1:7" ht="42">
      <c r="A35" s="7" t="s">
        <v>76</v>
      </c>
      <c r="B35" s="7"/>
      <c r="C35" s="13">
        <v>-12546000</v>
      </c>
      <c r="D35" s="13">
        <v>-12136000</v>
      </c>
      <c r="E35" s="13">
        <v>-12298000</v>
      </c>
      <c r="F35" s="7" t="s">
        <v>66</v>
      </c>
      <c r="G35" s="7" t="s">
        <v>34</v>
      </c>
    </row>
    <row r="36" spans="1:7" ht="42">
      <c r="A36" s="14" t="s">
        <v>77</v>
      </c>
      <c r="B36" s="6"/>
      <c r="C36" s="15">
        <v>-29000</v>
      </c>
      <c r="D36" s="15">
        <v>1000</v>
      </c>
      <c r="E36" s="15">
        <v>-24000</v>
      </c>
      <c r="F36" s="6" t="s">
        <v>66</v>
      </c>
      <c r="G36" s="6" t="s">
        <v>34</v>
      </c>
    </row>
    <row r="37" spans="1:7" ht="42">
      <c r="A37" s="14" t="s">
        <v>36</v>
      </c>
      <c r="B37" s="6" t="s">
        <v>78</v>
      </c>
      <c r="C37" s="15">
        <v>-12517000</v>
      </c>
      <c r="D37" s="15">
        <v>-12137000</v>
      </c>
      <c r="E37" s="15">
        <v>-12274000</v>
      </c>
      <c r="F37" s="6" t="s">
        <v>66</v>
      </c>
      <c r="G37" s="6" t="s">
        <v>34</v>
      </c>
    </row>
    <row r="38" spans="1:7" ht="42">
      <c r="A38" s="7" t="s">
        <v>79</v>
      </c>
      <c r="B38" s="7" t="s">
        <v>80</v>
      </c>
      <c r="C38" s="13">
        <v>0</v>
      </c>
      <c r="D38" s="13">
        <v>0</v>
      </c>
      <c r="E38" s="13">
        <v>0</v>
      </c>
      <c r="F38" s="7" t="s">
        <v>66</v>
      </c>
      <c r="G38" s="7" t="s">
        <v>34</v>
      </c>
    </row>
    <row r="39" spans="1:7" ht="42">
      <c r="A39" s="7" t="s">
        <v>81</v>
      </c>
      <c r="B39" s="7"/>
      <c r="C39" s="13">
        <v>-251000</v>
      </c>
      <c r="D39" s="13">
        <v>-624000</v>
      </c>
      <c r="E39" s="13">
        <v>-237000</v>
      </c>
      <c r="F39" s="7" t="s">
        <v>66</v>
      </c>
      <c r="G39" s="7" t="s">
        <v>34</v>
      </c>
    </row>
    <row r="40" spans="1:7" ht="42">
      <c r="A40" s="14" t="s">
        <v>82</v>
      </c>
      <c r="B40" s="6" t="s">
        <v>83</v>
      </c>
      <c r="C40" s="15">
        <v>-129000</v>
      </c>
      <c r="D40" s="15">
        <v>-382000</v>
      </c>
      <c r="E40" s="15">
        <v>-135000</v>
      </c>
      <c r="F40" s="6" t="s">
        <v>66</v>
      </c>
      <c r="G40" s="6" t="s">
        <v>34</v>
      </c>
    </row>
    <row r="41" spans="1:7" ht="42">
      <c r="A41" s="14" t="s">
        <v>84</v>
      </c>
      <c r="B41" s="6" t="s">
        <v>80</v>
      </c>
      <c r="C41" s="15">
        <v>-112000</v>
      </c>
      <c r="D41" s="15">
        <v>-231000</v>
      </c>
      <c r="E41" s="15">
        <v>-73000</v>
      </c>
      <c r="F41" s="6" t="s">
        <v>66</v>
      </c>
      <c r="G41" s="6" t="s">
        <v>34</v>
      </c>
    </row>
    <row r="42" spans="1:7" ht="42">
      <c r="A42" s="14" t="s">
        <v>85</v>
      </c>
      <c r="B42" s="6"/>
      <c r="C42" s="15">
        <v>-10000</v>
      </c>
      <c r="D42" s="15">
        <v>-11000</v>
      </c>
      <c r="E42" s="15">
        <v>-29000</v>
      </c>
      <c r="F42" s="6" t="s">
        <v>66</v>
      </c>
      <c r="G42" s="6" t="s">
        <v>34</v>
      </c>
    </row>
    <row r="43" spans="1:7" ht="42">
      <c r="A43" s="7" t="s">
        <v>86</v>
      </c>
      <c r="B43" s="7" t="s">
        <v>87</v>
      </c>
      <c r="C43" s="13">
        <v>0</v>
      </c>
      <c r="D43" s="13">
        <v>368000</v>
      </c>
      <c r="E43" s="13">
        <v>312000</v>
      </c>
      <c r="F43" s="7" t="s">
        <v>66</v>
      </c>
      <c r="G43" s="7" t="s">
        <v>34</v>
      </c>
    </row>
    <row r="44" spans="1:7" ht="42">
      <c r="A44" s="7" t="s">
        <v>88</v>
      </c>
      <c r="B44" s="7"/>
      <c r="C44" s="13">
        <v>22000</v>
      </c>
      <c r="D44" s="13">
        <v>0</v>
      </c>
      <c r="E44" s="13">
        <v>39000</v>
      </c>
      <c r="F44" s="7" t="s">
        <v>66</v>
      </c>
      <c r="G44" s="7" t="s">
        <v>34</v>
      </c>
    </row>
    <row r="45" spans="1:7" ht="42">
      <c r="A45" s="7" t="s">
        <v>89</v>
      </c>
      <c r="B45" s="7" t="s">
        <v>90</v>
      </c>
      <c r="C45" s="13">
        <v>226000</v>
      </c>
      <c r="D45" s="13">
        <v>-27000</v>
      </c>
      <c r="E45" s="13">
        <v>-20000</v>
      </c>
      <c r="F45" s="7" t="s">
        <v>66</v>
      </c>
      <c r="G45" s="7" t="s">
        <v>34</v>
      </c>
    </row>
    <row r="46" spans="1:7" ht="42">
      <c r="A46" s="7" t="s">
        <v>91</v>
      </c>
      <c r="B46" s="7"/>
      <c r="C46" s="13">
        <v>18681000</v>
      </c>
      <c r="D46" s="13">
        <v>17347000</v>
      </c>
      <c r="E46" s="13">
        <v>15005000</v>
      </c>
      <c r="F46" s="7" t="s">
        <v>66</v>
      </c>
      <c r="G46" s="7" t="s">
        <v>34</v>
      </c>
    </row>
    <row r="47" spans="1:7" ht="42">
      <c r="A47" s="7" t="s">
        <v>92</v>
      </c>
      <c r="B47" s="7" t="s">
        <v>93</v>
      </c>
      <c r="C47" s="13">
        <v>-4723000</v>
      </c>
      <c r="D47" s="13">
        <v>-4844000</v>
      </c>
      <c r="E47" s="13">
        <v>-3880000</v>
      </c>
      <c r="F47" s="7" t="s">
        <v>66</v>
      </c>
      <c r="G47" s="7" t="s">
        <v>34</v>
      </c>
    </row>
    <row r="48" spans="1:7" ht="42">
      <c r="A48" s="7" t="s">
        <v>94</v>
      </c>
      <c r="B48" s="7"/>
      <c r="C48" s="13">
        <v>13958000</v>
      </c>
      <c r="D48" s="13">
        <v>12503000</v>
      </c>
      <c r="E48" s="13">
        <v>11125000</v>
      </c>
      <c r="F48" s="7" t="s">
        <v>66</v>
      </c>
      <c r="G48" s="7" t="s">
        <v>34</v>
      </c>
    </row>
    <row r="49" spans="1:7" ht="42">
      <c r="A49" s="7" t="s">
        <v>95</v>
      </c>
      <c r="B49" s="7" t="s">
        <v>96</v>
      </c>
      <c r="C49" s="13">
        <v>1542000</v>
      </c>
      <c r="D49" s="13">
        <v>1241000</v>
      </c>
      <c r="E49" s="13">
        <v>1058000</v>
      </c>
      <c r="F49" s="7" t="s">
        <v>66</v>
      </c>
      <c r="G49" s="7" t="s">
        <v>34</v>
      </c>
    </row>
    <row r="50" spans="1:7" ht="42">
      <c r="A50" s="7" t="s">
        <v>97</v>
      </c>
      <c r="B50" s="7"/>
      <c r="C50" s="13">
        <v>15500000</v>
      </c>
      <c r="D50" s="13">
        <v>13744000</v>
      </c>
      <c r="E50" s="13">
        <v>12183000</v>
      </c>
      <c r="F50" s="7" t="s">
        <v>66</v>
      </c>
      <c r="G50" s="7" t="s">
        <v>34</v>
      </c>
    </row>
    <row r="51" spans="1:7" ht="42">
      <c r="A51" s="14" t="s">
        <v>98</v>
      </c>
      <c r="B51" s="6" t="s">
        <v>99</v>
      </c>
      <c r="C51" s="15">
        <v>1399000</v>
      </c>
      <c r="D51" s="15">
        <v>1170000</v>
      </c>
      <c r="E51" s="15">
        <v>1107000</v>
      </c>
      <c r="F51" s="6" t="s">
        <v>66</v>
      </c>
      <c r="G51" s="6" t="s">
        <v>34</v>
      </c>
    </row>
    <row r="52" spans="1:7" ht="42">
      <c r="A52" s="14" t="s">
        <v>100</v>
      </c>
      <c r="B52" s="6"/>
      <c r="C52" s="15">
        <v>14101000</v>
      </c>
      <c r="D52" s="15">
        <v>12574000</v>
      </c>
      <c r="E52" s="15">
        <v>11076000</v>
      </c>
      <c r="F52" s="6" t="s">
        <v>66</v>
      </c>
      <c r="G52" s="6" t="s">
        <v>34</v>
      </c>
    </row>
    <row r="53" spans="1:7">
      <c r="A53" s="6"/>
      <c r="B53" s="6"/>
      <c r="C53" s="15"/>
      <c r="D53" s="15"/>
      <c r="E53" s="15"/>
      <c r="F53" s="6"/>
      <c r="G53" s="6"/>
    </row>
    <row r="54" spans="1:7" ht="28">
      <c r="A54" s="9" t="s">
        <v>101</v>
      </c>
      <c r="B54" s="9"/>
      <c r="C54" s="9">
        <f>C10+C11+C12+C13+C14+C15+C18+C20+C22+C23+C24+C25+C26+C27+C28</f>
        <v>58670000</v>
      </c>
      <c r="D54" s="9">
        <f>D10+D11+D12+D13+D14+D15+D18+D20+D22+D23+D24+D25+D26+D27+D28</f>
        <v>58380000</v>
      </c>
      <c r="E54" s="9">
        <f>E10+E11+E12+E13+E14+E15+E18+E20+E22+E23+E24+E25+E26+E27+E28</f>
        <v>54251000</v>
      </c>
      <c r="F54" s="9" t="s">
        <v>102</v>
      </c>
      <c r="G54" s="9" t="s">
        <v>103</v>
      </c>
    </row>
  </sheetData>
  <mergeCells count="2">
    <mergeCell ref="A1:G1"/>
    <mergeCell ref="A2: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8"/>
  <sheetViews>
    <sheetView showGridLines="0" workbookViewId="0"/>
  </sheetViews>
  <sheetFormatPr baseColWidth="10" defaultColWidth="8.83203125" defaultRowHeight="14"/>
  <cols>
    <col min="1" max="1" width="46" customWidth="1"/>
    <col min="2" max="2" width="9" customWidth="1"/>
    <col min="3" max="5" width="15" customWidth="1"/>
    <col min="6" max="6" width="32" customWidth="1"/>
    <col min="7" max="7" width="52" customWidth="1"/>
  </cols>
  <sheetData>
    <row r="1" spans="1:7">
      <c r="A1" s="29" t="s">
        <v>104</v>
      </c>
      <c r="B1" s="30"/>
      <c r="C1" s="30"/>
      <c r="D1" s="30"/>
      <c r="E1" s="30"/>
      <c r="F1" s="30"/>
      <c r="G1" s="30"/>
    </row>
    <row r="2" spans="1:7">
      <c r="A2" s="28" t="s">
        <v>105</v>
      </c>
      <c r="B2" s="30"/>
      <c r="C2" s="30"/>
      <c r="D2" s="30"/>
      <c r="E2" s="30"/>
      <c r="F2" s="30"/>
      <c r="G2" s="30"/>
    </row>
    <row r="3" spans="1:7">
      <c r="A3" s="10"/>
      <c r="B3" s="10"/>
      <c r="C3" s="10"/>
      <c r="D3" s="10"/>
      <c r="E3" s="10"/>
      <c r="F3" s="10"/>
      <c r="G3" s="10"/>
    </row>
    <row r="4" spans="1:7">
      <c r="A4" s="12" t="s">
        <v>24</v>
      </c>
      <c r="B4" s="12" t="s">
        <v>25</v>
      </c>
      <c r="C4" s="12" t="s">
        <v>26</v>
      </c>
      <c r="D4" s="12" t="s">
        <v>27</v>
      </c>
      <c r="E4" s="12" t="s">
        <v>28</v>
      </c>
      <c r="F4" s="12" t="s">
        <v>29</v>
      </c>
      <c r="G4" s="12" t="s">
        <v>30</v>
      </c>
    </row>
    <row r="5" spans="1:7">
      <c r="A5" s="8" t="s">
        <v>106</v>
      </c>
      <c r="B5" s="8"/>
      <c r="C5" s="16"/>
      <c r="D5" s="16"/>
      <c r="E5" s="16"/>
      <c r="F5" s="8"/>
      <c r="G5" s="8"/>
    </row>
    <row r="6" spans="1:7" ht="42">
      <c r="A6" s="7" t="s">
        <v>107</v>
      </c>
      <c r="B6" s="7"/>
      <c r="C6" s="13">
        <v>152281000</v>
      </c>
      <c r="D6" s="13">
        <v>192208000</v>
      </c>
      <c r="E6" s="13">
        <v>220342000</v>
      </c>
      <c r="F6" s="7" t="s">
        <v>108</v>
      </c>
      <c r="G6" s="7" t="s">
        <v>109</v>
      </c>
    </row>
    <row r="7" spans="1:7" ht="42">
      <c r="A7" s="7" t="s">
        <v>110</v>
      </c>
      <c r="B7" s="7"/>
      <c r="C7" s="13">
        <v>252318000</v>
      </c>
      <c r="D7" s="13">
        <v>230253000</v>
      </c>
      <c r="E7" s="13">
        <v>176921000</v>
      </c>
      <c r="F7" s="7" t="s">
        <v>108</v>
      </c>
      <c r="G7" s="7" t="s">
        <v>109</v>
      </c>
    </row>
    <row r="8" spans="1:7" ht="42">
      <c r="A8" s="14" t="s">
        <v>111</v>
      </c>
      <c r="B8" s="6" t="s">
        <v>112</v>
      </c>
      <c r="C8" s="15">
        <v>58355000</v>
      </c>
      <c r="D8" s="15">
        <v>64100000</v>
      </c>
      <c r="E8" s="15">
        <v>56328000</v>
      </c>
      <c r="F8" s="6" t="s">
        <v>108</v>
      </c>
      <c r="G8" s="6" t="s">
        <v>109</v>
      </c>
    </row>
    <row r="9" spans="1:7" ht="42">
      <c r="A9" s="14" t="s">
        <v>113</v>
      </c>
      <c r="B9" s="6" t="s">
        <v>114</v>
      </c>
      <c r="C9" s="15">
        <v>22030000</v>
      </c>
      <c r="D9" s="15">
        <v>16636000</v>
      </c>
      <c r="E9" s="15">
        <v>15057000</v>
      </c>
      <c r="F9" s="6" t="s">
        <v>108</v>
      </c>
      <c r="G9" s="6" t="s">
        <v>109</v>
      </c>
    </row>
    <row r="10" spans="1:7" ht="42">
      <c r="A10" s="14" t="s">
        <v>115</v>
      </c>
      <c r="B10" s="6" t="s">
        <v>116</v>
      </c>
      <c r="C10" s="15">
        <v>98568000</v>
      </c>
      <c r="D10" s="15">
        <v>82646000</v>
      </c>
      <c r="E10" s="15">
        <v>62124000</v>
      </c>
      <c r="F10" s="6" t="s">
        <v>108</v>
      </c>
      <c r="G10" s="6" t="s">
        <v>109</v>
      </c>
    </row>
    <row r="11" spans="1:7" ht="42">
      <c r="A11" s="14" t="s">
        <v>117</v>
      </c>
      <c r="B11" s="6"/>
      <c r="C11" s="15">
        <v>73365000</v>
      </c>
      <c r="D11" s="15">
        <v>66871000</v>
      </c>
      <c r="E11" s="15">
        <v>43412000</v>
      </c>
      <c r="F11" s="6" t="s">
        <v>108</v>
      </c>
      <c r="G11" s="6" t="s">
        <v>109</v>
      </c>
    </row>
    <row r="12" spans="1:7" ht="42">
      <c r="A12" s="14" t="s">
        <v>118</v>
      </c>
      <c r="B12" s="6" t="s">
        <v>119</v>
      </c>
      <c r="C12" s="15">
        <v>14632000</v>
      </c>
      <c r="D12" s="15">
        <v>12966000</v>
      </c>
      <c r="E12" s="15">
        <v>17717000</v>
      </c>
      <c r="F12" s="6" t="s">
        <v>108</v>
      </c>
      <c r="G12" s="6" t="s">
        <v>109</v>
      </c>
    </row>
    <row r="13" spans="1:7" ht="42">
      <c r="A13" s="14" t="s">
        <v>120</v>
      </c>
      <c r="B13" s="6" t="s">
        <v>119</v>
      </c>
      <c r="C13" s="15">
        <v>25967000</v>
      </c>
      <c r="D13" s="15">
        <v>27314000</v>
      </c>
      <c r="E13" s="15">
        <v>14061000</v>
      </c>
      <c r="F13" s="6" t="s">
        <v>108</v>
      </c>
      <c r="G13" s="6" t="s">
        <v>109</v>
      </c>
    </row>
    <row r="14" spans="1:7" ht="42">
      <c r="A14" s="14" t="s">
        <v>121</v>
      </c>
      <c r="B14" s="6" t="s">
        <v>78</v>
      </c>
      <c r="C14" s="15">
        <v>32766000</v>
      </c>
      <c r="D14" s="15">
        <v>26591000</v>
      </c>
      <c r="E14" s="15">
        <v>11634000</v>
      </c>
      <c r="F14" s="6" t="s">
        <v>108</v>
      </c>
      <c r="G14" s="6" t="s">
        <v>109</v>
      </c>
    </row>
    <row r="15" spans="1:7" ht="42">
      <c r="A15" s="7" t="s">
        <v>122</v>
      </c>
      <c r="B15" s="7"/>
      <c r="C15" s="13">
        <v>7761000</v>
      </c>
      <c r="D15" s="13">
        <v>6130000</v>
      </c>
      <c r="E15" s="13">
        <v>5910000</v>
      </c>
      <c r="F15" s="7" t="s">
        <v>108</v>
      </c>
      <c r="G15" s="7" t="s">
        <v>109</v>
      </c>
    </row>
    <row r="16" spans="1:7" ht="42">
      <c r="A16" s="14" t="s">
        <v>113</v>
      </c>
      <c r="B16" s="6" t="s">
        <v>114</v>
      </c>
      <c r="C16" s="15">
        <v>5815000</v>
      </c>
      <c r="D16" s="15">
        <v>4641000</v>
      </c>
      <c r="E16" s="15">
        <v>4068000</v>
      </c>
      <c r="F16" s="6" t="s">
        <v>108</v>
      </c>
      <c r="G16" s="6" t="s">
        <v>109</v>
      </c>
    </row>
    <row r="17" spans="1:7" ht="42">
      <c r="A17" s="14" t="s">
        <v>115</v>
      </c>
      <c r="B17" s="6" t="s">
        <v>116</v>
      </c>
      <c r="C17" s="15">
        <v>245000</v>
      </c>
      <c r="D17" s="15">
        <v>447000</v>
      </c>
      <c r="E17" s="15">
        <v>860000</v>
      </c>
      <c r="F17" s="6" t="s">
        <v>108</v>
      </c>
      <c r="G17" s="6" t="s">
        <v>109</v>
      </c>
    </row>
    <row r="18" spans="1:7" ht="42">
      <c r="A18" s="14" t="s">
        <v>117</v>
      </c>
      <c r="B18" s="6"/>
      <c r="C18" s="15">
        <v>1701000</v>
      </c>
      <c r="D18" s="15">
        <v>1042000</v>
      </c>
      <c r="E18" s="15">
        <v>982000</v>
      </c>
      <c r="F18" s="6" t="s">
        <v>108</v>
      </c>
      <c r="G18" s="6" t="s">
        <v>109</v>
      </c>
    </row>
    <row r="19" spans="1:7" ht="42">
      <c r="A19" s="7" t="s">
        <v>123</v>
      </c>
      <c r="B19" s="7"/>
      <c r="C19" s="13">
        <v>8046000</v>
      </c>
      <c r="D19" s="13">
        <v>7915000</v>
      </c>
      <c r="E19" s="13">
        <v>9773000</v>
      </c>
      <c r="F19" s="7" t="s">
        <v>108</v>
      </c>
      <c r="G19" s="7" t="s">
        <v>109</v>
      </c>
    </row>
    <row r="20" spans="1:7" ht="42">
      <c r="A20" s="14" t="s">
        <v>115</v>
      </c>
      <c r="B20" s="6" t="s">
        <v>116</v>
      </c>
      <c r="C20" s="15">
        <v>2894000</v>
      </c>
      <c r="D20" s="15">
        <v>2897000</v>
      </c>
      <c r="E20" s="15">
        <v>3095000</v>
      </c>
      <c r="F20" s="6" t="s">
        <v>108</v>
      </c>
      <c r="G20" s="6" t="s">
        <v>109</v>
      </c>
    </row>
    <row r="21" spans="1:7" ht="42">
      <c r="A21" s="14" t="s">
        <v>117</v>
      </c>
      <c r="B21" s="6"/>
      <c r="C21" s="15">
        <v>5152000</v>
      </c>
      <c r="D21" s="15">
        <v>5018000</v>
      </c>
      <c r="E21" s="15">
        <v>6678000</v>
      </c>
      <c r="F21" s="6" t="s">
        <v>108</v>
      </c>
      <c r="G21" s="6" t="s">
        <v>109</v>
      </c>
    </row>
    <row r="22" spans="1:7" ht="42">
      <c r="A22" s="7" t="s">
        <v>124</v>
      </c>
      <c r="B22" s="7"/>
      <c r="C22" s="13">
        <v>74612000</v>
      </c>
      <c r="D22" s="13">
        <v>89898000</v>
      </c>
      <c r="E22" s="13">
        <v>83308000</v>
      </c>
      <c r="F22" s="7" t="s">
        <v>108</v>
      </c>
      <c r="G22" s="7" t="s">
        <v>109</v>
      </c>
    </row>
    <row r="23" spans="1:7" ht="42">
      <c r="A23" s="14" t="s">
        <v>113</v>
      </c>
      <c r="B23" s="6" t="s">
        <v>114</v>
      </c>
      <c r="C23" s="15">
        <v>2281000</v>
      </c>
      <c r="D23" s="15">
        <v>2193000</v>
      </c>
      <c r="E23" s="15">
        <v>1761000</v>
      </c>
      <c r="F23" s="6" t="s">
        <v>108</v>
      </c>
      <c r="G23" s="6" t="s">
        <v>109</v>
      </c>
    </row>
    <row r="24" spans="1:7" ht="42">
      <c r="A24" s="14" t="s">
        <v>115</v>
      </c>
      <c r="B24" s="6" t="s">
        <v>116</v>
      </c>
      <c r="C24" s="15">
        <v>58305000</v>
      </c>
      <c r="D24" s="15">
        <v>76558000</v>
      </c>
      <c r="E24" s="15">
        <v>73565000</v>
      </c>
      <c r="F24" s="6" t="s">
        <v>108</v>
      </c>
      <c r="G24" s="6" t="s">
        <v>109</v>
      </c>
    </row>
    <row r="25" spans="1:7" ht="42">
      <c r="A25" s="14" t="s">
        <v>117</v>
      </c>
      <c r="B25" s="6"/>
      <c r="C25" s="15">
        <v>14026000</v>
      </c>
      <c r="D25" s="15">
        <v>11147000</v>
      </c>
      <c r="E25" s="15">
        <v>7982000</v>
      </c>
      <c r="F25" s="6" t="s">
        <v>108</v>
      </c>
      <c r="G25" s="6" t="s">
        <v>109</v>
      </c>
    </row>
    <row r="26" spans="1:7" ht="42">
      <c r="A26" s="7" t="s">
        <v>36</v>
      </c>
      <c r="B26" s="7"/>
      <c r="C26" s="13">
        <v>1202689000</v>
      </c>
      <c r="D26" s="13">
        <v>1203707000</v>
      </c>
      <c r="E26" s="13">
        <v>1191403000</v>
      </c>
      <c r="F26" s="7" t="s">
        <v>108</v>
      </c>
      <c r="G26" s="7" t="s">
        <v>109</v>
      </c>
    </row>
    <row r="27" spans="1:7" ht="42">
      <c r="A27" s="14" t="s">
        <v>115</v>
      </c>
      <c r="B27" s="6" t="s">
        <v>116</v>
      </c>
      <c r="C27" s="15">
        <v>140014000</v>
      </c>
      <c r="D27" s="15">
        <v>120949000</v>
      </c>
      <c r="E27" s="15">
        <v>103559000</v>
      </c>
      <c r="F27" s="6" t="s">
        <v>108</v>
      </c>
      <c r="G27" s="6" t="s">
        <v>109</v>
      </c>
    </row>
    <row r="28" spans="1:7" ht="42">
      <c r="A28" s="14" t="s">
        <v>117</v>
      </c>
      <c r="B28" s="6"/>
      <c r="C28" s="15">
        <v>1062675000</v>
      </c>
      <c r="D28" s="15">
        <v>1082758000</v>
      </c>
      <c r="E28" s="15">
        <v>1087844000</v>
      </c>
      <c r="F28" s="6" t="s">
        <v>108</v>
      </c>
      <c r="G28" s="6" t="s">
        <v>109</v>
      </c>
    </row>
    <row r="29" spans="1:7" ht="42">
      <c r="A29" s="14" t="s">
        <v>118</v>
      </c>
      <c r="B29" s="6" t="s">
        <v>119</v>
      </c>
      <c r="C29" s="15">
        <v>15986000</v>
      </c>
      <c r="D29" s="15">
        <v>16179000</v>
      </c>
      <c r="E29" s="15">
        <v>20082000</v>
      </c>
      <c r="F29" s="6" t="s">
        <v>108</v>
      </c>
      <c r="G29" s="6" t="s">
        <v>109</v>
      </c>
    </row>
    <row r="30" spans="1:7" ht="42">
      <c r="A30" s="14" t="s">
        <v>120</v>
      </c>
      <c r="B30" s="6" t="s">
        <v>119</v>
      </c>
      <c r="C30" s="15">
        <v>61513000</v>
      </c>
      <c r="D30" s="15">
        <v>55537000</v>
      </c>
      <c r="E30" s="15">
        <v>57917000</v>
      </c>
      <c r="F30" s="6" t="s">
        <v>108</v>
      </c>
      <c r="G30" s="6" t="s">
        <v>109</v>
      </c>
    </row>
    <row r="31" spans="1:7" ht="42">
      <c r="A31" s="14" t="s">
        <v>121</v>
      </c>
      <c r="B31" s="6" t="s">
        <v>78</v>
      </c>
      <c r="C31" s="15">
        <v>985176000</v>
      </c>
      <c r="D31" s="15">
        <v>1011042000</v>
      </c>
      <c r="E31" s="15">
        <v>1009845000</v>
      </c>
      <c r="F31" s="6" t="s">
        <v>108</v>
      </c>
      <c r="G31" s="6" t="s">
        <v>109</v>
      </c>
    </row>
    <row r="32" spans="1:7" ht="42">
      <c r="A32" s="7" t="s">
        <v>125</v>
      </c>
      <c r="B32" s="7" t="s">
        <v>126</v>
      </c>
      <c r="C32" s="13">
        <v>3931000</v>
      </c>
      <c r="D32" s="13">
        <v>5672000</v>
      </c>
      <c r="E32" s="13">
        <v>5297000</v>
      </c>
      <c r="F32" s="7" t="s">
        <v>108</v>
      </c>
      <c r="G32" s="7" t="s">
        <v>109</v>
      </c>
    </row>
    <row r="33" spans="1:7" ht="42">
      <c r="A33" s="7" t="s">
        <v>127</v>
      </c>
      <c r="B33" s="7" t="s">
        <v>128</v>
      </c>
      <c r="C33" s="13">
        <v>50000</v>
      </c>
      <c r="D33" s="13">
        <v>-704000</v>
      </c>
      <c r="E33" s="13">
        <v>-788000</v>
      </c>
      <c r="F33" s="7" t="s">
        <v>108</v>
      </c>
      <c r="G33" s="7" t="s">
        <v>109</v>
      </c>
    </row>
    <row r="34" spans="1:7" ht="42">
      <c r="A34" s="7" t="s">
        <v>129</v>
      </c>
      <c r="B34" s="7" t="s">
        <v>44</v>
      </c>
      <c r="C34" s="13">
        <v>7052000</v>
      </c>
      <c r="D34" s="13">
        <v>7277000</v>
      </c>
      <c r="E34" s="13">
        <v>7646000</v>
      </c>
      <c r="F34" s="7" t="s">
        <v>130</v>
      </c>
      <c r="G34" s="7" t="s">
        <v>109</v>
      </c>
    </row>
    <row r="35" spans="1:7" ht="42">
      <c r="A35" s="14" t="s">
        <v>131</v>
      </c>
      <c r="B35" s="6"/>
      <c r="C35" s="15">
        <v>1956000</v>
      </c>
      <c r="D35" s="15">
        <v>2061000</v>
      </c>
      <c r="E35" s="15">
        <v>1964000</v>
      </c>
      <c r="F35" s="6" t="s">
        <v>130</v>
      </c>
      <c r="G35" s="6" t="s">
        <v>109</v>
      </c>
    </row>
    <row r="36" spans="1:7" ht="42">
      <c r="A36" s="14" t="s">
        <v>132</v>
      </c>
      <c r="B36" s="6"/>
      <c r="C36" s="15">
        <v>5096000</v>
      </c>
      <c r="D36" s="15">
        <v>5216000</v>
      </c>
      <c r="E36" s="15">
        <v>5682000</v>
      </c>
      <c r="F36" s="6" t="s">
        <v>130</v>
      </c>
      <c r="G36" s="6" t="s">
        <v>109</v>
      </c>
    </row>
    <row r="37" spans="1:7" ht="42">
      <c r="A37" s="7" t="s">
        <v>133</v>
      </c>
      <c r="B37" s="7"/>
      <c r="C37" s="13">
        <v>223000</v>
      </c>
      <c r="D37" s="13">
        <v>222000</v>
      </c>
      <c r="E37" s="13">
        <v>237000</v>
      </c>
      <c r="F37" s="7" t="s">
        <v>130</v>
      </c>
      <c r="G37" s="7" t="s">
        <v>109</v>
      </c>
    </row>
    <row r="38" spans="1:7" ht="42">
      <c r="A38" s="7" t="s">
        <v>82</v>
      </c>
      <c r="B38" s="7"/>
      <c r="C38" s="13">
        <v>27438000</v>
      </c>
      <c r="D38" s="13">
        <v>32087000</v>
      </c>
      <c r="E38" s="13">
        <v>33882000</v>
      </c>
      <c r="F38" s="7" t="s">
        <v>130</v>
      </c>
      <c r="G38" s="7" t="s">
        <v>109</v>
      </c>
    </row>
    <row r="39" spans="1:7" ht="42">
      <c r="A39" s="14" t="s">
        <v>134</v>
      </c>
      <c r="B39" s="6" t="s">
        <v>83</v>
      </c>
      <c r="C39" s="15">
        <v>26416000</v>
      </c>
      <c r="D39" s="15">
        <v>31212000</v>
      </c>
      <c r="E39" s="15">
        <v>32926000</v>
      </c>
      <c r="F39" s="6" t="s">
        <v>130</v>
      </c>
      <c r="G39" s="6" t="s">
        <v>109</v>
      </c>
    </row>
    <row r="40" spans="1:7" ht="42">
      <c r="A40" s="14" t="s">
        <v>135</v>
      </c>
      <c r="B40" s="6"/>
      <c r="C40" s="15">
        <v>11663000</v>
      </c>
      <c r="D40" s="15">
        <v>12636000</v>
      </c>
      <c r="E40" s="15">
        <v>13408000</v>
      </c>
      <c r="F40" s="6" t="s">
        <v>130</v>
      </c>
      <c r="G40" s="6" t="s">
        <v>109</v>
      </c>
    </row>
    <row r="41" spans="1:7" ht="42">
      <c r="A41" s="14" t="s">
        <v>136</v>
      </c>
      <c r="B41" s="6"/>
      <c r="C41" s="15">
        <v>14753000</v>
      </c>
      <c r="D41" s="15">
        <v>18576000</v>
      </c>
      <c r="E41" s="15">
        <v>19518000</v>
      </c>
      <c r="F41" s="6" t="s">
        <v>130</v>
      </c>
      <c r="G41" s="6" t="s">
        <v>109</v>
      </c>
    </row>
    <row r="42" spans="1:7" ht="42">
      <c r="A42" s="14" t="s">
        <v>137</v>
      </c>
      <c r="B42" s="6" t="s">
        <v>83</v>
      </c>
      <c r="C42" s="15">
        <v>1022000</v>
      </c>
      <c r="D42" s="15">
        <v>875000</v>
      </c>
      <c r="E42" s="15">
        <v>956000</v>
      </c>
      <c r="F42" s="6" t="s">
        <v>130</v>
      </c>
      <c r="G42" s="6" t="s">
        <v>109</v>
      </c>
    </row>
    <row r="43" spans="1:7" ht="42">
      <c r="A43" s="7" t="s">
        <v>84</v>
      </c>
      <c r="B43" s="7"/>
      <c r="C43" s="13">
        <v>17308000</v>
      </c>
      <c r="D43" s="13">
        <v>19259000</v>
      </c>
      <c r="E43" s="13">
        <v>19871000</v>
      </c>
      <c r="F43" s="7" t="s">
        <v>130</v>
      </c>
      <c r="G43" s="7" t="s">
        <v>109</v>
      </c>
    </row>
    <row r="44" spans="1:7" ht="42">
      <c r="A44" s="14" t="s">
        <v>138</v>
      </c>
      <c r="B44" s="6" t="s">
        <v>139</v>
      </c>
      <c r="C44" s="15">
        <v>11958000</v>
      </c>
      <c r="D44" s="15">
        <v>13438000</v>
      </c>
      <c r="E44" s="15">
        <v>14017000</v>
      </c>
      <c r="F44" s="6" t="s">
        <v>130</v>
      </c>
      <c r="G44" s="6" t="s">
        <v>109</v>
      </c>
    </row>
    <row r="45" spans="1:7" ht="42">
      <c r="A45" s="14" t="s">
        <v>140</v>
      </c>
      <c r="B45" s="6" t="s">
        <v>141</v>
      </c>
      <c r="C45" s="15">
        <v>5350000</v>
      </c>
      <c r="D45" s="15">
        <v>5821000</v>
      </c>
      <c r="E45" s="15">
        <v>5854000</v>
      </c>
      <c r="F45" s="6" t="s">
        <v>130</v>
      </c>
      <c r="G45" s="6" t="s">
        <v>109</v>
      </c>
    </row>
    <row r="46" spans="1:7" ht="42">
      <c r="A46" s="7" t="s">
        <v>142</v>
      </c>
      <c r="B46" s="7"/>
      <c r="C46" s="13">
        <v>30076000</v>
      </c>
      <c r="D46" s="13">
        <v>30596000</v>
      </c>
      <c r="E46" s="13">
        <v>31390000</v>
      </c>
      <c r="F46" s="7" t="s">
        <v>130</v>
      </c>
      <c r="G46" s="7" t="s">
        <v>109</v>
      </c>
    </row>
    <row r="47" spans="1:7" ht="42">
      <c r="A47" s="14" t="s">
        <v>143</v>
      </c>
      <c r="B47" s="6"/>
      <c r="C47" s="15">
        <v>11132000</v>
      </c>
      <c r="D47" s="15">
        <v>11426000</v>
      </c>
      <c r="E47" s="15">
        <v>10623000</v>
      </c>
      <c r="F47" s="6" t="s">
        <v>130</v>
      </c>
      <c r="G47" s="6" t="s">
        <v>109</v>
      </c>
    </row>
    <row r="48" spans="1:7" ht="42">
      <c r="A48" s="14" t="s">
        <v>144</v>
      </c>
      <c r="B48" s="6" t="s">
        <v>93</v>
      </c>
      <c r="C48" s="15">
        <v>18944000</v>
      </c>
      <c r="D48" s="15">
        <v>19170000</v>
      </c>
      <c r="E48" s="15">
        <v>20767000</v>
      </c>
      <c r="F48" s="6" t="s">
        <v>130</v>
      </c>
      <c r="G48" s="6" t="s">
        <v>109</v>
      </c>
    </row>
    <row r="49" spans="1:7" ht="42">
      <c r="A49" s="7" t="s">
        <v>145</v>
      </c>
      <c r="B49" s="7"/>
      <c r="C49" s="13">
        <v>8719000</v>
      </c>
      <c r="D49" s="13">
        <v>8559000</v>
      </c>
      <c r="E49" s="13">
        <v>8856000</v>
      </c>
      <c r="F49" s="7" t="s">
        <v>130</v>
      </c>
      <c r="G49" s="7" t="s">
        <v>109</v>
      </c>
    </row>
    <row r="50" spans="1:7" ht="42">
      <c r="A50" s="14" t="s">
        <v>146</v>
      </c>
      <c r="B50" s="6" t="s">
        <v>147</v>
      </c>
      <c r="C50" s="15">
        <v>67000</v>
      </c>
      <c r="D50" s="15">
        <v>81000</v>
      </c>
      <c r="E50" s="15">
        <v>93000</v>
      </c>
      <c r="F50" s="6" t="s">
        <v>130</v>
      </c>
      <c r="G50" s="6" t="s">
        <v>109</v>
      </c>
    </row>
    <row r="51" spans="1:7" ht="42">
      <c r="A51" s="14" t="s">
        <v>148</v>
      </c>
      <c r="B51" s="6"/>
      <c r="C51" s="15">
        <v>7000</v>
      </c>
      <c r="D51" s="15">
        <v>6000</v>
      </c>
      <c r="E51" s="15">
        <v>7000</v>
      </c>
      <c r="F51" s="6" t="s">
        <v>130</v>
      </c>
      <c r="G51" s="6" t="s">
        <v>109</v>
      </c>
    </row>
    <row r="52" spans="1:7" ht="42">
      <c r="A52" s="14" t="s">
        <v>149</v>
      </c>
      <c r="B52" s="6" t="s">
        <v>150</v>
      </c>
      <c r="C52" s="15">
        <v>8645000</v>
      </c>
      <c r="D52" s="15">
        <v>8472000</v>
      </c>
      <c r="E52" s="15">
        <v>8756000</v>
      </c>
      <c r="F52" s="6" t="s">
        <v>130</v>
      </c>
      <c r="G52" s="6" t="s">
        <v>109</v>
      </c>
    </row>
    <row r="53" spans="1:7" ht="42">
      <c r="A53" s="7" t="s">
        <v>151</v>
      </c>
      <c r="B53" s="7" t="s">
        <v>152</v>
      </c>
      <c r="C53" s="13">
        <v>75011000</v>
      </c>
      <c r="D53" s="13">
        <v>4002000</v>
      </c>
      <c r="E53" s="13">
        <v>3014000</v>
      </c>
      <c r="F53" s="7" t="s">
        <v>130</v>
      </c>
      <c r="G53" s="7" t="s">
        <v>109</v>
      </c>
    </row>
    <row r="54" spans="1:7" ht="42">
      <c r="A54" s="9" t="s">
        <v>153</v>
      </c>
      <c r="B54" s="9"/>
      <c r="C54" s="17">
        <v>1867515000</v>
      </c>
      <c r="D54" s="17">
        <v>1837081000</v>
      </c>
      <c r="E54" s="17">
        <v>1797062000</v>
      </c>
      <c r="F54" s="9" t="s">
        <v>130</v>
      </c>
      <c r="G54" s="9" t="s">
        <v>109</v>
      </c>
    </row>
    <row r="55" spans="1:7">
      <c r="A55" s="8" t="s">
        <v>154</v>
      </c>
      <c r="B55" s="8"/>
      <c r="C55" s="16"/>
      <c r="D55" s="16"/>
      <c r="E55" s="16"/>
      <c r="F55" s="8"/>
      <c r="G55" s="8"/>
    </row>
    <row r="56" spans="1:7" ht="42">
      <c r="A56" s="7" t="s">
        <v>155</v>
      </c>
      <c r="B56" s="7"/>
      <c r="C56" s="13">
        <v>171546000</v>
      </c>
      <c r="D56" s="13">
        <v>152151000</v>
      </c>
      <c r="E56" s="13">
        <v>122270000</v>
      </c>
      <c r="F56" s="7" t="s">
        <v>156</v>
      </c>
      <c r="G56" s="7" t="s">
        <v>109</v>
      </c>
    </row>
    <row r="57" spans="1:7" ht="42">
      <c r="A57" s="14" t="s">
        <v>111</v>
      </c>
      <c r="B57" s="6" t="s">
        <v>112</v>
      </c>
      <c r="C57" s="15">
        <v>51968000</v>
      </c>
      <c r="D57" s="15">
        <v>57753000</v>
      </c>
      <c r="E57" s="15">
        <v>50589000</v>
      </c>
      <c r="F57" s="6" t="s">
        <v>156</v>
      </c>
      <c r="G57" s="6" t="s">
        <v>109</v>
      </c>
    </row>
    <row r="58" spans="1:7" ht="42">
      <c r="A58" s="14" t="s">
        <v>157</v>
      </c>
      <c r="B58" s="6" t="s">
        <v>158</v>
      </c>
      <c r="C58" s="15">
        <v>44015000</v>
      </c>
      <c r="D58" s="15">
        <v>35830000</v>
      </c>
      <c r="E58" s="15">
        <v>26174000</v>
      </c>
      <c r="F58" s="6" t="s">
        <v>156</v>
      </c>
      <c r="G58" s="6" t="s">
        <v>109</v>
      </c>
    </row>
    <row r="59" spans="1:7" ht="42">
      <c r="A59" s="14" t="s">
        <v>159</v>
      </c>
      <c r="B59" s="6"/>
      <c r="C59" s="15">
        <v>75563000</v>
      </c>
      <c r="D59" s="15">
        <v>58568000</v>
      </c>
      <c r="E59" s="15">
        <v>45507000</v>
      </c>
      <c r="F59" s="6" t="s">
        <v>156</v>
      </c>
      <c r="G59" s="6" t="s">
        <v>109</v>
      </c>
    </row>
    <row r="60" spans="1:7" ht="42">
      <c r="A60" s="14" t="s">
        <v>118</v>
      </c>
      <c r="B60" s="6" t="s">
        <v>160</v>
      </c>
      <c r="C60" s="15">
        <v>12385000</v>
      </c>
      <c r="D60" s="15">
        <v>13300000</v>
      </c>
      <c r="E60" s="15">
        <v>7808000</v>
      </c>
      <c r="F60" s="6" t="s">
        <v>156</v>
      </c>
      <c r="G60" s="6" t="s">
        <v>109</v>
      </c>
    </row>
    <row r="61" spans="1:7" ht="42">
      <c r="A61" s="14" t="s">
        <v>120</v>
      </c>
      <c r="B61" s="6" t="s">
        <v>160</v>
      </c>
      <c r="C61" s="15">
        <v>27058000</v>
      </c>
      <c r="D61" s="15">
        <v>26284000</v>
      </c>
      <c r="E61" s="15">
        <v>17862000</v>
      </c>
      <c r="F61" s="6" t="s">
        <v>156</v>
      </c>
      <c r="G61" s="6" t="s">
        <v>109</v>
      </c>
    </row>
    <row r="62" spans="1:7" ht="42">
      <c r="A62" s="14" t="s">
        <v>121</v>
      </c>
      <c r="B62" s="6" t="s">
        <v>161</v>
      </c>
      <c r="C62" s="15">
        <v>36120000</v>
      </c>
      <c r="D62" s="15">
        <v>18984000</v>
      </c>
      <c r="E62" s="15">
        <v>19837000</v>
      </c>
      <c r="F62" s="6" t="s">
        <v>156</v>
      </c>
      <c r="G62" s="6" t="s">
        <v>109</v>
      </c>
    </row>
    <row r="63" spans="1:7" ht="42">
      <c r="A63" s="7" t="s">
        <v>162</v>
      </c>
      <c r="B63" s="7"/>
      <c r="C63" s="13">
        <v>42148000</v>
      </c>
      <c r="D63" s="13">
        <v>36360000</v>
      </c>
      <c r="E63" s="13">
        <v>40367000</v>
      </c>
      <c r="F63" s="7" t="s">
        <v>156</v>
      </c>
      <c r="G63" s="7" t="s">
        <v>109</v>
      </c>
    </row>
    <row r="64" spans="1:7" ht="42">
      <c r="A64" s="14" t="s">
        <v>159</v>
      </c>
      <c r="B64" s="6"/>
      <c r="C64" s="15">
        <v>30440000</v>
      </c>
      <c r="D64" s="15">
        <v>28806000</v>
      </c>
      <c r="E64" s="15">
        <v>34996000</v>
      </c>
      <c r="F64" s="6" t="s">
        <v>156</v>
      </c>
      <c r="G64" s="6" t="s">
        <v>109</v>
      </c>
    </row>
    <row r="65" spans="1:7" ht="42">
      <c r="A65" s="14" t="s">
        <v>118</v>
      </c>
      <c r="B65" s="6" t="s">
        <v>160</v>
      </c>
      <c r="C65" s="15">
        <v>3086000</v>
      </c>
      <c r="D65" s="15">
        <v>1774000</v>
      </c>
      <c r="E65" s="15">
        <v>1209000</v>
      </c>
      <c r="F65" s="6" t="s">
        <v>156</v>
      </c>
      <c r="G65" s="6" t="s">
        <v>109</v>
      </c>
    </row>
    <row r="66" spans="1:7" ht="42">
      <c r="A66" s="14" t="s">
        <v>120</v>
      </c>
      <c r="B66" s="6" t="s">
        <v>160</v>
      </c>
      <c r="C66" s="15">
        <v>1424000</v>
      </c>
      <c r="D66" s="15">
        <v>1625000</v>
      </c>
      <c r="E66" s="15">
        <v>1735000</v>
      </c>
      <c r="F66" s="6" t="s">
        <v>156</v>
      </c>
      <c r="G66" s="6" t="s">
        <v>109</v>
      </c>
    </row>
    <row r="67" spans="1:7" ht="42">
      <c r="A67" s="14" t="s">
        <v>121</v>
      </c>
      <c r="B67" s="6" t="s">
        <v>161</v>
      </c>
      <c r="C67" s="15">
        <v>25930000</v>
      </c>
      <c r="D67" s="15">
        <v>25407000</v>
      </c>
      <c r="E67" s="15">
        <v>32052000</v>
      </c>
      <c r="F67" s="6" t="s">
        <v>156</v>
      </c>
      <c r="G67" s="6" t="s">
        <v>109</v>
      </c>
    </row>
    <row r="68" spans="1:7" ht="42">
      <c r="A68" s="14" t="s">
        <v>163</v>
      </c>
      <c r="B68" s="6" t="s">
        <v>164</v>
      </c>
      <c r="C68" s="15">
        <v>11686000</v>
      </c>
      <c r="D68" s="15">
        <v>7554000</v>
      </c>
      <c r="E68" s="15">
        <v>5371000</v>
      </c>
      <c r="F68" s="6" t="s">
        <v>156</v>
      </c>
      <c r="G68" s="6" t="s">
        <v>109</v>
      </c>
    </row>
    <row r="69" spans="1:7" ht="42">
      <c r="A69" s="14" t="s">
        <v>165</v>
      </c>
      <c r="B69" s="6" t="s">
        <v>166</v>
      </c>
      <c r="C69" s="15">
        <v>22000</v>
      </c>
      <c r="D69" s="15">
        <v>0</v>
      </c>
      <c r="E69" s="15">
        <v>0</v>
      </c>
      <c r="F69" s="6" t="s">
        <v>156</v>
      </c>
      <c r="G69" s="6" t="s">
        <v>109</v>
      </c>
    </row>
    <row r="70" spans="1:7" ht="42">
      <c r="A70" s="7" t="s">
        <v>167</v>
      </c>
      <c r="B70" s="7"/>
      <c r="C70" s="13">
        <v>1421184000</v>
      </c>
      <c r="D70" s="13">
        <v>1484322000</v>
      </c>
      <c r="E70" s="13">
        <v>1468703000</v>
      </c>
      <c r="F70" s="7" t="s">
        <v>156</v>
      </c>
      <c r="G70" s="7" t="s">
        <v>109</v>
      </c>
    </row>
    <row r="71" spans="1:7" ht="42">
      <c r="A71" s="14" t="s">
        <v>159</v>
      </c>
      <c r="B71" s="6"/>
      <c r="C71" s="15">
        <v>1072384000</v>
      </c>
      <c r="D71" s="15">
        <v>1126439000</v>
      </c>
      <c r="E71" s="15">
        <v>1125308000</v>
      </c>
      <c r="F71" s="6" t="s">
        <v>156</v>
      </c>
      <c r="G71" s="6" t="s">
        <v>109</v>
      </c>
    </row>
    <row r="72" spans="1:7" ht="42">
      <c r="A72" s="14" t="s">
        <v>118</v>
      </c>
      <c r="B72" s="6" t="s">
        <v>160</v>
      </c>
      <c r="C72" s="15">
        <v>18542000</v>
      </c>
      <c r="D72" s="15">
        <v>24882000</v>
      </c>
      <c r="E72" s="15">
        <v>48782000</v>
      </c>
      <c r="F72" s="6" t="s">
        <v>156</v>
      </c>
      <c r="G72" s="6" t="s">
        <v>109</v>
      </c>
    </row>
    <row r="73" spans="1:7" ht="42">
      <c r="A73" s="14" t="s">
        <v>120</v>
      </c>
      <c r="B73" s="6" t="s">
        <v>160</v>
      </c>
      <c r="C73" s="15">
        <v>74692000</v>
      </c>
      <c r="D73" s="15">
        <v>90012000</v>
      </c>
      <c r="E73" s="15">
        <v>81246000</v>
      </c>
      <c r="F73" s="6" t="s">
        <v>156</v>
      </c>
      <c r="G73" s="6" t="s">
        <v>109</v>
      </c>
    </row>
    <row r="74" spans="1:7" ht="42">
      <c r="A74" s="14" t="s">
        <v>121</v>
      </c>
      <c r="B74" s="6" t="s">
        <v>161</v>
      </c>
      <c r="C74" s="15">
        <v>979150000</v>
      </c>
      <c r="D74" s="15">
        <v>1011545000</v>
      </c>
      <c r="E74" s="15">
        <v>995280000</v>
      </c>
      <c r="F74" s="6" t="s">
        <v>156</v>
      </c>
      <c r="G74" s="6" t="s">
        <v>109</v>
      </c>
    </row>
    <row r="75" spans="1:7" ht="42">
      <c r="A75" s="14" t="s">
        <v>163</v>
      </c>
      <c r="B75" s="6" t="s">
        <v>164</v>
      </c>
      <c r="C75" s="15">
        <v>312704000</v>
      </c>
      <c r="D75" s="15">
        <v>317967000</v>
      </c>
      <c r="E75" s="15">
        <v>303208000</v>
      </c>
      <c r="F75" s="6" t="s">
        <v>156</v>
      </c>
      <c r="G75" s="6" t="s">
        <v>109</v>
      </c>
    </row>
    <row r="76" spans="1:7" ht="42">
      <c r="A76" s="14" t="s">
        <v>165</v>
      </c>
      <c r="B76" s="6" t="s">
        <v>166</v>
      </c>
      <c r="C76" s="15">
        <v>36096000</v>
      </c>
      <c r="D76" s="15">
        <v>39916000</v>
      </c>
      <c r="E76" s="15">
        <v>40187000</v>
      </c>
      <c r="F76" s="6" t="s">
        <v>156</v>
      </c>
      <c r="G76" s="6" t="s">
        <v>109</v>
      </c>
    </row>
    <row r="77" spans="1:7" ht="42">
      <c r="A77" s="14" t="s">
        <v>168</v>
      </c>
      <c r="B77" s="6" t="s">
        <v>169</v>
      </c>
      <c r="C77" s="15">
        <v>29287000</v>
      </c>
      <c r="D77" s="15">
        <v>35813000</v>
      </c>
      <c r="E77" s="15">
        <v>30912000</v>
      </c>
      <c r="F77" s="6" t="s">
        <v>156</v>
      </c>
      <c r="G77" s="6" t="s">
        <v>109</v>
      </c>
    </row>
    <row r="78" spans="1:7" ht="42">
      <c r="A78" s="7" t="s">
        <v>125</v>
      </c>
      <c r="B78" s="7" t="s">
        <v>126</v>
      </c>
      <c r="C78" s="13">
        <v>4248000</v>
      </c>
      <c r="D78" s="13">
        <v>4752000</v>
      </c>
      <c r="E78" s="13">
        <v>7656000</v>
      </c>
      <c r="F78" s="7" t="s">
        <v>156</v>
      </c>
      <c r="G78" s="7" t="s">
        <v>109</v>
      </c>
    </row>
    <row r="79" spans="1:7" ht="42">
      <c r="A79" s="7" t="s">
        <v>127</v>
      </c>
      <c r="B79" s="7" t="s">
        <v>128</v>
      </c>
      <c r="C79" s="13">
        <v>49000</v>
      </c>
      <c r="D79" s="13">
        <v>-9000</v>
      </c>
      <c r="E79" s="13">
        <v>55000</v>
      </c>
      <c r="F79" s="7" t="s">
        <v>156</v>
      </c>
      <c r="G79" s="7" t="s">
        <v>109</v>
      </c>
    </row>
    <row r="80" spans="1:7" ht="42">
      <c r="A80" s="7" t="s">
        <v>170</v>
      </c>
      <c r="B80" s="7" t="s">
        <v>171</v>
      </c>
      <c r="C80" s="13">
        <v>18737000</v>
      </c>
      <c r="D80" s="13">
        <v>17829000</v>
      </c>
      <c r="E80" s="13">
        <v>17799000</v>
      </c>
      <c r="F80" s="7" t="s">
        <v>156</v>
      </c>
      <c r="G80" s="7" t="s">
        <v>109</v>
      </c>
    </row>
    <row r="81" spans="1:7" ht="42">
      <c r="A81" s="7" t="s">
        <v>172</v>
      </c>
      <c r="B81" s="7" t="s">
        <v>75</v>
      </c>
      <c r="C81" s="13">
        <v>8355000</v>
      </c>
      <c r="D81" s="13">
        <v>8407000</v>
      </c>
      <c r="E81" s="13">
        <v>8441000</v>
      </c>
      <c r="F81" s="7" t="s">
        <v>156</v>
      </c>
      <c r="G81" s="7" t="s">
        <v>109</v>
      </c>
    </row>
    <row r="82" spans="1:7" ht="42">
      <c r="A82" s="14" t="s">
        <v>173</v>
      </c>
      <c r="B82" s="6"/>
      <c r="C82" s="15">
        <v>1656000</v>
      </c>
      <c r="D82" s="15">
        <v>1731000</v>
      </c>
      <c r="E82" s="15">
        <v>2225000</v>
      </c>
      <c r="F82" s="6" t="s">
        <v>156</v>
      </c>
      <c r="G82" s="6" t="s">
        <v>109</v>
      </c>
    </row>
    <row r="83" spans="1:7" ht="42">
      <c r="A83" s="14" t="s">
        <v>174</v>
      </c>
      <c r="B83" s="6"/>
      <c r="C83" s="15">
        <v>993000</v>
      </c>
      <c r="D83" s="15">
        <v>915000</v>
      </c>
      <c r="E83" s="15">
        <v>880000</v>
      </c>
      <c r="F83" s="6" t="s">
        <v>156</v>
      </c>
      <c r="G83" s="6" t="s">
        <v>109</v>
      </c>
    </row>
    <row r="84" spans="1:7" ht="42">
      <c r="A84" s="14" t="s">
        <v>175</v>
      </c>
      <c r="B84" s="6"/>
      <c r="C84" s="15">
        <v>2989000</v>
      </c>
      <c r="D84" s="15">
        <v>2717000</v>
      </c>
      <c r="E84" s="15">
        <v>2715000</v>
      </c>
      <c r="F84" s="6" t="s">
        <v>156</v>
      </c>
      <c r="G84" s="6" t="s">
        <v>109</v>
      </c>
    </row>
    <row r="85" spans="1:7" ht="42">
      <c r="A85" s="14" t="s">
        <v>176</v>
      </c>
      <c r="B85" s="6"/>
      <c r="C85" s="15">
        <v>713000</v>
      </c>
      <c r="D85" s="15">
        <v>710000</v>
      </c>
      <c r="E85" s="15">
        <v>702000</v>
      </c>
      <c r="F85" s="6" t="s">
        <v>156</v>
      </c>
      <c r="G85" s="6" t="s">
        <v>109</v>
      </c>
    </row>
    <row r="86" spans="1:7" ht="42">
      <c r="A86" s="14" t="s">
        <v>177</v>
      </c>
      <c r="B86" s="6"/>
      <c r="C86" s="15">
        <v>2004000</v>
      </c>
      <c r="D86" s="15">
        <v>2334000</v>
      </c>
      <c r="E86" s="15">
        <v>1919000</v>
      </c>
      <c r="F86" s="6" t="s">
        <v>156</v>
      </c>
      <c r="G86" s="6" t="s">
        <v>109</v>
      </c>
    </row>
    <row r="87" spans="1:7" ht="42">
      <c r="A87" s="7" t="s">
        <v>178</v>
      </c>
      <c r="B87" s="7"/>
      <c r="C87" s="13">
        <v>9568000</v>
      </c>
      <c r="D87" s="13">
        <v>9598000</v>
      </c>
      <c r="E87" s="13">
        <v>9932000</v>
      </c>
      <c r="F87" s="7" t="s">
        <v>156</v>
      </c>
      <c r="G87" s="7" t="s">
        <v>109</v>
      </c>
    </row>
    <row r="88" spans="1:7" ht="42">
      <c r="A88" s="14" t="s">
        <v>179</v>
      </c>
      <c r="B88" s="6"/>
      <c r="C88" s="15">
        <v>3664000</v>
      </c>
      <c r="D88" s="15">
        <v>3322000</v>
      </c>
      <c r="E88" s="15">
        <v>3846000</v>
      </c>
      <c r="F88" s="6" t="s">
        <v>156</v>
      </c>
      <c r="G88" s="6" t="s">
        <v>109</v>
      </c>
    </row>
    <row r="89" spans="1:7" ht="42">
      <c r="A89" s="14" t="s">
        <v>180</v>
      </c>
      <c r="B89" s="6" t="s">
        <v>93</v>
      </c>
      <c r="C89" s="15">
        <v>5904000</v>
      </c>
      <c r="D89" s="15">
        <v>6276000</v>
      </c>
      <c r="E89" s="15">
        <v>6086000</v>
      </c>
      <c r="F89" s="6" t="s">
        <v>156</v>
      </c>
      <c r="G89" s="6" t="s">
        <v>109</v>
      </c>
    </row>
    <row r="90" spans="1:7" ht="42">
      <c r="A90" s="7" t="s">
        <v>181</v>
      </c>
      <c r="B90" s="7" t="s">
        <v>182</v>
      </c>
      <c r="C90" s="13">
        <v>15937000</v>
      </c>
      <c r="D90" s="13">
        <v>16344000</v>
      </c>
      <c r="E90" s="13">
        <v>17598000</v>
      </c>
      <c r="F90" s="7" t="s">
        <v>156</v>
      </c>
      <c r="G90" s="7" t="s">
        <v>109</v>
      </c>
    </row>
    <row r="91" spans="1:7" ht="42">
      <c r="A91" s="7" t="s">
        <v>183</v>
      </c>
      <c r="B91" s="7"/>
      <c r="C91" s="13">
        <v>62995000</v>
      </c>
      <c r="D91" s="13">
        <v>0</v>
      </c>
      <c r="E91" s="13">
        <v>0</v>
      </c>
      <c r="F91" s="7" t="s">
        <v>156</v>
      </c>
      <c r="G91" s="7" t="s">
        <v>109</v>
      </c>
    </row>
    <row r="92" spans="1:7" ht="42">
      <c r="A92" s="9" t="s">
        <v>184</v>
      </c>
      <c r="B92" s="9"/>
      <c r="C92" s="17">
        <v>1754767000</v>
      </c>
      <c r="D92" s="17">
        <v>1729754000</v>
      </c>
      <c r="E92" s="17">
        <v>1692821000</v>
      </c>
      <c r="F92" s="9" t="s">
        <v>156</v>
      </c>
      <c r="G92" s="9" t="s">
        <v>109</v>
      </c>
    </row>
    <row r="93" spans="1:7">
      <c r="A93" s="8" t="s">
        <v>185</v>
      </c>
      <c r="B93" s="8"/>
      <c r="C93" s="16"/>
      <c r="D93" s="16"/>
      <c r="E93" s="16"/>
      <c r="F93" s="8"/>
      <c r="G93" s="8"/>
    </row>
    <row r="94" spans="1:7" ht="42">
      <c r="A94" s="7" t="s">
        <v>186</v>
      </c>
      <c r="B94" s="7" t="s">
        <v>187</v>
      </c>
      <c r="C94" s="13">
        <v>141144000</v>
      </c>
      <c r="D94" s="13">
        <v>135196000</v>
      </c>
      <c r="E94" s="13">
        <v>130443000</v>
      </c>
      <c r="F94" s="7" t="s">
        <v>188</v>
      </c>
      <c r="G94" s="7" t="s">
        <v>109</v>
      </c>
    </row>
    <row r="95" spans="1:7" ht="42">
      <c r="A95" s="7" t="s">
        <v>189</v>
      </c>
      <c r="B95" s="7" t="s">
        <v>190</v>
      </c>
      <c r="C95" s="13">
        <v>7345000</v>
      </c>
      <c r="D95" s="13">
        <v>7576000</v>
      </c>
      <c r="E95" s="13">
        <v>8092000</v>
      </c>
      <c r="F95" s="7" t="s">
        <v>188</v>
      </c>
      <c r="G95" s="7" t="s">
        <v>109</v>
      </c>
    </row>
    <row r="96" spans="1:7" ht="42">
      <c r="A96" s="14" t="s">
        <v>191</v>
      </c>
      <c r="B96" s="6"/>
      <c r="C96" s="15">
        <v>7345000</v>
      </c>
      <c r="D96" s="15">
        <v>7576000</v>
      </c>
      <c r="E96" s="15">
        <v>8092000</v>
      </c>
      <c r="F96" s="6" t="s">
        <v>188</v>
      </c>
      <c r="G96" s="6" t="s">
        <v>109</v>
      </c>
    </row>
    <row r="97" spans="1:7" ht="42">
      <c r="A97" s="14" t="s">
        <v>192</v>
      </c>
      <c r="B97" s="6"/>
      <c r="C97" s="15">
        <v>0</v>
      </c>
      <c r="D97" s="15">
        <v>0</v>
      </c>
      <c r="E97" s="15">
        <v>0</v>
      </c>
      <c r="F97" s="6" t="s">
        <v>188</v>
      </c>
      <c r="G97" s="6" t="s">
        <v>109</v>
      </c>
    </row>
    <row r="98" spans="1:7" ht="42">
      <c r="A98" s="7" t="s">
        <v>193</v>
      </c>
      <c r="B98" s="7" t="s">
        <v>194</v>
      </c>
      <c r="C98" s="13">
        <v>36792000</v>
      </c>
      <c r="D98" s="13">
        <v>40079000</v>
      </c>
      <c r="E98" s="13">
        <v>44373000</v>
      </c>
      <c r="F98" s="7" t="s">
        <v>188</v>
      </c>
      <c r="G98" s="7" t="s">
        <v>109</v>
      </c>
    </row>
    <row r="99" spans="1:7" ht="42">
      <c r="A99" s="7" t="s">
        <v>195</v>
      </c>
      <c r="B99" s="7" t="s">
        <v>196</v>
      </c>
      <c r="C99" s="13">
        <v>0</v>
      </c>
      <c r="D99" s="13">
        <v>0</v>
      </c>
      <c r="E99" s="13">
        <v>720000</v>
      </c>
      <c r="F99" s="7" t="s">
        <v>188</v>
      </c>
      <c r="G99" s="7" t="s">
        <v>109</v>
      </c>
    </row>
    <row r="100" spans="1:7" ht="42">
      <c r="A100" s="14" t="s">
        <v>197</v>
      </c>
      <c r="B100" s="6"/>
      <c r="C100" s="15">
        <v>0</v>
      </c>
      <c r="D100" s="15">
        <v>0</v>
      </c>
      <c r="E100" s="15">
        <v>0</v>
      </c>
      <c r="F100" s="6" t="s">
        <v>188</v>
      </c>
      <c r="G100" s="6" t="s">
        <v>109</v>
      </c>
    </row>
    <row r="101" spans="1:7" ht="42">
      <c r="A101" s="14" t="s">
        <v>198</v>
      </c>
      <c r="B101" s="6"/>
      <c r="C101" s="15">
        <v>0</v>
      </c>
      <c r="D101" s="15">
        <v>0</v>
      </c>
      <c r="E101" s="15">
        <v>720000</v>
      </c>
      <c r="F101" s="6" t="s">
        <v>188</v>
      </c>
      <c r="G101" s="6" t="s">
        <v>109</v>
      </c>
    </row>
    <row r="102" spans="1:7" ht="42">
      <c r="A102" s="7" t="s">
        <v>199</v>
      </c>
      <c r="B102" s="7" t="s">
        <v>196</v>
      </c>
      <c r="C102" s="13">
        <v>273000</v>
      </c>
      <c r="D102" s="13">
        <v>217000</v>
      </c>
      <c r="E102" s="13">
        <v>195000</v>
      </c>
      <c r="F102" s="7" t="s">
        <v>188</v>
      </c>
      <c r="G102" s="7" t="s">
        <v>109</v>
      </c>
    </row>
    <row r="103" spans="1:7" ht="42">
      <c r="A103" s="7" t="s">
        <v>200</v>
      </c>
      <c r="B103" s="7" t="s">
        <v>201</v>
      </c>
      <c r="C103" s="13">
        <v>91959000</v>
      </c>
      <c r="D103" s="13">
        <v>82326000</v>
      </c>
      <c r="E103" s="13">
        <v>74114000</v>
      </c>
      <c r="F103" s="7" t="s">
        <v>188</v>
      </c>
      <c r="G103" s="7" t="s">
        <v>109</v>
      </c>
    </row>
    <row r="104" spans="1:7" ht="42">
      <c r="A104" s="7" t="s">
        <v>202</v>
      </c>
      <c r="B104" s="7" t="s">
        <v>201</v>
      </c>
      <c r="C104" s="13">
        <v>0</v>
      </c>
      <c r="D104" s="13">
        <v>0</v>
      </c>
      <c r="E104" s="13">
        <v>0</v>
      </c>
      <c r="F104" s="7" t="s">
        <v>188</v>
      </c>
      <c r="G104" s="7" t="s">
        <v>109</v>
      </c>
    </row>
    <row r="105" spans="1:7" ht="42">
      <c r="A105" s="7" t="s">
        <v>203</v>
      </c>
      <c r="B105" s="7" t="s">
        <v>201</v>
      </c>
      <c r="C105" s="13">
        <v>-7532000</v>
      </c>
      <c r="D105" s="13">
        <v>-5976000</v>
      </c>
      <c r="E105" s="13">
        <v>-5751000</v>
      </c>
      <c r="F105" s="7" t="s">
        <v>188</v>
      </c>
      <c r="G105" s="7" t="s">
        <v>109</v>
      </c>
    </row>
    <row r="106" spans="1:7" ht="42">
      <c r="A106" s="14" t="s">
        <v>204</v>
      </c>
      <c r="B106" s="6"/>
      <c r="C106" s="15">
        <v>1643000</v>
      </c>
      <c r="D106" s="15">
        <v>1831000</v>
      </c>
      <c r="E106" s="15">
        <v>1762000</v>
      </c>
      <c r="F106" s="6" t="s">
        <v>188</v>
      </c>
      <c r="G106" s="6" t="s">
        <v>109</v>
      </c>
    </row>
    <row r="107" spans="1:7" ht="42">
      <c r="A107" s="14" t="s">
        <v>205</v>
      </c>
      <c r="B107" s="6"/>
      <c r="C107" s="15">
        <v>-9175000</v>
      </c>
      <c r="D107" s="15">
        <v>-7807000</v>
      </c>
      <c r="E107" s="15">
        <v>-7513000</v>
      </c>
      <c r="F107" s="6" t="s">
        <v>188</v>
      </c>
      <c r="G107" s="6" t="s">
        <v>109</v>
      </c>
    </row>
    <row r="108" spans="1:7" ht="42">
      <c r="A108" s="7" t="s">
        <v>206</v>
      </c>
      <c r="B108" s="7" t="s">
        <v>196</v>
      </c>
      <c r="C108" s="13">
        <v>-96000</v>
      </c>
      <c r="D108" s="13">
        <v>-68000</v>
      </c>
      <c r="E108" s="13">
        <v>-1078000</v>
      </c>
      <c r="F108" s="7" t="s">
        <v>188</v>
      </c>
      <c r="G108" s="7" t="s">
        <v>109</v>
      </c>
    </row>
    <row r="109" spans="1:7" ht="42">
      <c r="A109" s="7" t="s">
        <v>207</v>
      </c>
      <c r="B109" s="7"/>
      <c r="C109" s="13">
        <v>14101000</v>
      </c>
      <c r="D109" s="13">
        <v>12574000</v>
      </c>
      <c r="E109" s="13">
        <v>11076000</v>
      </c>
      <c r="F109" s="7" t="s">
        <v>188</v>
      </c>
      <c r="G109" s="7" t="s">
        <v>109</v>
      </c>
    </row>
    <row r="110" spans="1:7" ht="42">
      <c r="A110" s="7" t="s">
        <v>208</v>
      </c>
      <c r="B110" s="7" t="s">
        <v>209</v>
      </c>
      <c r="C110" s="13">
        <v>-1698000</v>
      </c>
      <c r="D110" s="13">
        <v>-1532000</v>
      </c>
      <c r="E110" s="13">
        <v>-1298000</v>
      </c>
      <c r="F110" s="7" t="s">
        <v>188</v>
      </c>
      <c r="G110" s="7" t="s">
        <v>109</v>
      </c>
    </row>
    <row r="111" spans="1:7" ht="42">
      <c r="A111" s="7" t="s">
        <v>210</v>
      </c>
      <c r="B111" s="7" t="s">
        <v>211</v>
      </c>
      <c r="C111" s="13">
        <v>-37974000</v>
      </c>
      <c r="D111" s="13">
        <v>-36595000</v>
      </c>
      <c r="E111" s="13">
        <v>-35020000</v>
      </c>
      <c r="F111" s="7" t="s">
        <v>188</v>
      </c>
      <c r="G111" s="7" t="s">
        <v>109</v>
      </c>
    </row>
    <row r="112" spans="1:7" ht="42">
      <c r="A112" s="14" t="s">
        <v>212</v>
      </c>
      <c r="B112" s="6"/>
      <c r="C112" s="15">
        <v>-4121000</v>
      </c>
      <c r="D112" s="15">
        <v>-4757000</v>
      </c>
      <c r="E112" s="15">
        <v>-5212000</v>
      </c>
      <c r="F112" s="6" t="s">
        <v>188</v>
      </c>
      <c r="G112" s="6" t="s">
        <v>109</v>
      </c>
    </row>
    <row r="113" spans="1:7" ht="42">
      <c r="A113" s="14" t="s">
        <v>213</v>
      </c>
      <c r="B113" s="6"/>
      <c r="C113" s="15">
        <v>-33853000</v>
      </c>
      <c r="D113" s="15">
        <v>-31838000</v>
      </c>
      <c r="E113" s="15">
        <v>-29808000</v>
      </c>
      <c r="F113" s="6" t="s">
        <v>188</v>
      </c>
      <c r="G113" s="6" t="s">
        <v>109</v>
      </c>
    </row>
    <row r="114" spans="1:7" ht="42">
      <c r="A114" s="7" t="s">
        <v>214</v>
      </c>
      <c r="B114" s="7" t="s">
        <v>99</v>
      </c>
      <c r="C114" s="13">
        <v>9578000</v>
      </c>
      <c r="D114" s="13">
        <v>8726000</v>
      </c>
      <c r="E114" s="13">
        <v>8818000</v>
      </c>
      <c r="F114" s="7" t="s">
        <v>188</v>
      </c>
      <c r="G114" s="7" t="s">
        <v>109</v>
      </c>
    </row>
    <row r="115" spans="1:7" ht="42">
      <c r="A115" s="14" t="s">
        <v>215</v>
      </c>
      <c r="B115" s="6"/>
      <c r="C115" s="15">
        <v>-1947000</v>
      </c>
      <c r="D115" s="15">
        <v>-2020000</v>
      </c>
      <c r="E115" s="15">
        <v>-1559000</v>
      </c>
      <c r="F115" s="6" t="s">
        <v>188</v>
      </c>
      <c r="G115" s="6" t="s">
        <v>109</v>
      </c>
    </row>
    <row r="116" spans="1:7" ht="42">
      <c r="A116" s="14" t="s">
        <v>216</v>
      </c>
      <c r="B116" s="6"/>
      <c r="C116" s="15">
        <v>11525000</v>
      </c>
      <c r="D116" s="15">
        <v>10746000</v>
      </c>
      <c r="E116" s="15">
        <v>10377000</v>
      </c>
      <c r="F116" s="6" t="s">
        <v>188</v>
      </c>
      <c r="G116" s="6" t="s">
        <v>109</v>
      </c>
    </row>
    <row r="117" spans="1:7" ht="42">
      <c r="A117" s="9" t="s">
        <v>217</v>
      </c>
      <c r="B117" s="9"/>
      <c r="C117" s="17">
        <v>112748000</v>
      </c>
      <c r="D117" s="17">
        <v>107327000</v>
      </c>
      <c r="E117" s="17">
        <v>104241000</v>
      </c>
      <c r="F117" s="9" t="s">
        <v>188</v>
      </c>
      <c r="G117" s="9" t="s">
        <v>109</v>
      </c>
    </row>
    <row r="118" spans="1:7" ht="42">
      <c r="A118" s="9" t="s">
        <v>218</v>
      </c>
      <c r="B118" s="9"/>
      <c r="C118" s="17">
        <v>1867515000</v>
      </c>
      <c r="D118" s="17">
        <v>1837081000</v>
      </c>
      <c r="E118" s="17">
        <v>1797062000</v>
      </c>
      <c r="F118" s="9" t="s">
        <v>188</v>
      </c>
      <c r="G118" s="9" t="s">
        <v>109</v>
      </c>
    </row>
  </sheetData>
  <mergeCells count="2">
    <mergeCell ref="A1:G1"/>
    <mergeCell ref="A2:G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0"/>
  <sheetViews>
    <sheetView showGridLines="0" workbookViewId="0">
      <selection sqref="A1:G1"/>
    </sheetView>
  </sheetViews>
  <sheetFormatPr baseColWidth="10" defaultColWidth="8.83203125" defaultRowHeight="14"/>
  <cols>
    <col min="1" max="1" width="48" customWidth="1"/>
    <col min="2" max="2" width="20" customWidth="1"/>
    <col min="3" max="4" width="16" customWidth="1"/>
    <col min="5" max="7" width="36" customWidth="1"/>
  </cols>
  <sheetData>
    <row r="1" spans="1:7">
      <c r="A1" s="29" t="s">
        <v>219</v>
      </c>
      <c r="B1" s="30"/>
      <c r="C1" s="31"/>
      <c r="D1" s="31"/>
      <c r="E1" s="30"/>
      <c r="F1" s="30"/>
      <c r="G1" s="30"/>
    </row>
    <row r="2" spans="1:7">
      <c r="A2" s="28" t="s">
        <v>220</v>
      </c>
      <c r="B2" s="30"/>
      <c r="C2" s="30"/>
      <c r="D2" s="30"/>
      <c r="E2" s="30"/>
      <c r="F2" s="30"/>
      <c r="G2" s="30"/>
    </row>
    <row r="3" spans="1:7">
      <c r="A3" s="10"/>
      <c r="B3" s="10"/>
      <c r="C3" s="10"/>
      <c r="D3" s="10"/>
      <c r="E3" s="10"/>
      <c r="F3" s="10"/>
      <c r="G3" s="10"/>
    </row>
    <row r="4" spans="1:7">
      <c r="A4" s="19" t="s">
        <v>24</v>
      </c>
      <c r="B4" s="19" t="s">
        <v>221</v>
      </c>
      <c r="C4" s="19" t="s">
        <v>26</v>
      </c>
      <c r="D4" s="19" t="s">
        <v>27</v>
      </c>
      <c r="E4" s="19" t="s">
        <v>222</v>
      </c>
      <c r="F4" s="19" t="s">
        <v>223</v>
      </c>
      <c r="G4" s="19" t="s">
        <v>224</v>
      </c>
    </row>
    <row r="5" spans="1:7">
      <c r="A5" s="19" t="s">
        <v>225</v>
      </c>
      <c r="B5" s="19"/>
      <c r="C5" s="20"/>
      <c r="D5" s="20"/>
      <c r="E5" s="19"/>
      <c r="F5" s="19"/>
      <c r="G5" s="19"/>
    </row>
    <row r="6" spans="1:7" ht="42">
      <c r="A6" s="2" t="s">
        <v>31</v>
      </c>
      <c r="B6" s="10" t="s">
        <v>226</v>
      </c>
      <c r="C6" s="18">
        <f>'P&amp;L'!C5</f>
        <v>101710000</v>
      </c>
      <c r="D6" s="18">
        <f>'P&amp;L'!D5</f>
        <v>109012000</v>
      </c>
      <c r="E6" s="10" t="s">
        <v>227</v>
      </c>
      <c r="F6" s="10" t="s">
        <v>228</v>
      </c>
      <c r="G6" s="10" t="s">
        <v>229</v>
      </c>
    </row>
    <row r="7" spans="1:7">
      <c r="A7" s="2" t="s">
        <v>38</v>
      </c>
      <c r="B7" s="10" t="s">
        <v>226</v>
      </c>
      <c r="C7" s="18">
        <f>'P&amp;L'!C9</f>
        <v>-59362000</v>
      </c>
      <c r="D7" s="18">
        <f>'P&amp;L'!D9</f>
        <v>-65225000</v>
      </c>
      <c r="E7" s="10" t="s">
        <v>227</v>
      </c>
      <c r="F7" s="10" t="s">
        <v>228</v>
      </c>
      <c r="G7" s="10" t="s">
        <v>230</v>
      </c>
    </row>
    <row r="8" spans="1:7">
      <c r="A8" s="2" t="s">
        <v>45</v>
      </c>
      <c r="B8" s="10" t="s">
        <v>226</v>
      </c>
      <c r="C8" s="18">
        <f>'P&amp;L'!C13</f>
        <v>17387000</v>
      </c>
      <c r="D8" s="18">
        <f>'P&amp;L'!D13</f>
        <v>16834000</v>
      </c>
      <c r="E8" s="10" t="s">
        <v>227</v>
      </c>
      <c r="F8" s="10" t="s">
        <v>228</v>
      </c>
      <c r="G8" s="10"/>
    </row>
    <row r="9" spans="1:7">
      <c r="A9" s="2" t="s">
        <v>47</v>
      </c>
      <c r="B9" s="10" t="s">
        <v>226</v>
      </c>
      <c r="C9" s="18">
        <f>'P&amp;L'!C14</f>
        <v>-4411000</v>
      </c>
      <c r="D9" s="18">
        <f>'P&amp;L'!D14</f>
        <v>-4458000</v>
      </c>
      <c r="E9" s="10" t="s">
        <v>227</v>
      </c>
      <c r="F9" s="10" t="s">
        <v>228</v>
      </c>
      <c r="G9" s="10"/>
    </row>
    <row r="10" spans="1:7">
      <c r="A10" s="2" t="s">
        <v>231</v>
      </c>
      <c r="B10" s="10" t="s">
        <v>232</v>
      </c>
      <c r="C10" s="18">
        <f>'P&amp;L'!C25+'P&amp;L'!C26+'P&amp;L'!C27+'P&amp;L'!C28</f>
        <v>-396000</v>
      </c>
      <c r="D10" s="18">
        <f>'P&amp;L'!D25+'P&amp;L'!D26+'P&amp;L'!D27+'P&amp;L'!D28</f>
        <v>-1391000</v>
      </c>
      <c r="E10" s="10" t="s">
        <v>227</v>
      </c>
      <c r="F10" s="10" t="s">
        <v>228</v>
      </c>
      <c r="G10" s="10"/>
    </row>
    <row r="11" spans="1:7">
      <c r="A11" s="2" t="s">
        <v>67</v>
      </c>
      <c r="B11" s="10" t="s">
        <v>226</v>
      </c>
      <c r="C11" s="18">
        <f>'P&amp;L'!C30</f>
        <v>-21533000</v>
      </c>
      <c r="D11" s="18">
        <f>'P&amp;L'!D30</f>
        <v>-21970000</v>
      </c>
      <c r="E11" s="10" t="s">
        <v>227</v>
      </c>
      <c r="F11" s="10" t="s">
        <v>228</v>
      </c>
      <c r="G11" s="10"/>
    </row>
    <row r="12" spans="1:7">
      <c r="A12" s="2" t="s">
        <v>92</v>
      </c>
      <c r="B12" s="10" t="s">
        <v>226</v>
      </c>
      <c r="C12" s="18">
        <f>'P&amp;L'!C47</f>
        <v>-4723000</v>
      </c>
      <c r="D12" s="18">
        <f>'P&amp;L'!D47</f>
        <v>-4844000</v>
      </c>
      <c r="E12" s="10" t="s">
        <v>227</v>
      </c>
      <c r="F12" s="10" t="s">
        <v>228</v>
      </c>
      <c r="G12" s="10"/>
    </row>
    <row r="13" spans="1:7" ht="56">
      <c r="A13" s="21" t="s">
        <v>233</v>
      </c>
      <c r="B13" s="21" t="s">
        <v>232</v>
      </c>
      <c r="C13" s="22">
        <f>SUM(C6:C12)</f>
        <v>28672000</v>
      </c>
      <c r="D13" s="22">
        <f>SUM(D6:D12)</f>
        <v>27958000</v>
      </c>
      <c r="E13" s="21" t="s">
        <v>102</v>
      </c>
      <c r="F13" s="21" t="s">
        <v>234</v>
      </c>
      <c r="G13" s="21" t="s">
        <v>235</v>
      </c>
    </row>
    <row r="14" spans="1:7" ht="126">
      <c r="A14" s="23" t="s">
        <v>236</v>
      </c>
      <c r="B14" s="23" t="s">
        <v>232</v>
      </c>
      <c r="C14" s="24">
        <f>('Balance Sheet'!C6-'Balance Sheet'!D6)-C13</f>
        <v>-68599000</v>
      </c>
      <c r="D14" s="24">
        <f>('Balance Sheet'!D6-'Balance Sheet'!E6)-D13</f>
        <v>-56092000</v>
      </c>
      <c r="E14" s="23" t="s">
        <v>102</v>
      </c>
      <c r="F14" s="23" t="s">
        <v>237</v>
      </c>
      <c r="G14" s="23" t="s">
        <v>238</v>
      </c>
    </row>
    <row r="15" spans="1:7" ht="28">
      <c r="A15" s="21" t="s">
        <v>239</v>
      </c>
      <c r="B15" s="21" t="s">
        <v>232</v>
      </c>
      <c r="C15" s="22">
        <f>C13+C14</f>
        <v>-39927000</v>
      </c>
      <c r="D15" s="22">
        <f>D13+D14</f>
        <v>-28134000</v>
      </c>
      <c r="E15" s="21" t="s">
        <v>102</v>
      </c>
      <c r="F15" s="21" t="s">
        <v>240</v>
      </c>
      <c r="G15" s="21" t="s">
        <v>241</v>
      </c>
    </row>
    <row r="16" spans="1:7">
      <c r="A16" s="19" t="s">
        <v>242</v>
      </c>
      <c r="B16" s="19"/>
      <c r="C16" s="20"/>
      <c r="D16" s="20"/>
      <c r="E16" s="19"/>
      <c r="F16" s="19"/>
      <c r="G16" s="19"/>
    </row>
    <row r="17" spans="1:7">
      <c r="A17" s="2" t="s">
        <v>243</v>
      </c>
      <c r="B17" s="10" t="s">
        <v>244</v>
      </c>
      <c r="C17" s="18">
        <f>'Balance Sheet'!D6</f>
        <v>192208000</v>
      </c>
      <c r="D17" s="18">
        <f>'Balance Sheet'!E6</f>
        <v>220342000</v>
      </c>
      <c r="E17" s="10" t="s">
        <v>245</v>
      </c>
      <c r="F17" s="10" t="s">
        <v>246</v>
      </c>
      <c r="G17" s="10"/>
    </row>
    <row r="18" spans="1:7" ht="28">
      <c r="A18" s="21" t="s">
        <v>247</v>
      </c>
      <c r="B18" s="21" t="s">
        <v>232</v>
      </c>
      <c r="C18" s="22">
        <f>C17+C15</f>
        <v>152281000</v>
      </c>
      <c r="D18" s="22">
        <f>D17+D15</f>
        <v>192208000</v>
      </c>
      <c r="E18" s="21" t="s">
        <v>102</v>
      </c>
      <c r="F18" s="21" t="s">
        <v>248</v>
      </c>
      <c r="G18" s="21" t="s">
        <v>249</v>
      </c>
    </row>
    <row r="19" spans="1:7">
      <c r="A19" s="2" t="s">
        <v>250</v>
      </c>
      <c r="B19" s="10" t="s">
        <v>244</v>
      </c>
      <c r="C19" s="18">
        <f>'Balance Sheet'!C6</f>
        <v>152281000</v>
      </c>
      <c r="D19" s="18">
        <f>'Balance Sheet'!D6</f>
        <v>192208000</v>
      </c>
      <c r="E19" s="10" t="s">
        <v>245</v>
      </c>
      <c r="F19" s="10" t="s">
        <v>251</v>
      </c>
      <c r="G19" s="10"/>
    </row>
    <row r="20" spans="1:7" ht="28">
      <c r="A20" s="23" t="s">
        <v>252</v>
      </c>
      <c r="B20" s="23" t="s">
        <v>232</v>
      </c>
      <c r="C20" s="24">
        <f>C18-C19</f>
        <v>0</v>
      </c>
      <c r="D20" s="24">
        <f>D18-D19</f>
        <v>0</v>
      </c>
      <c r="E20" s="23" t="s">
        <v>102</v>
      </c>
      <c r="F20" s="23" t="s">
        <v>253</v>
      </c>
      <c r="G20" s="23" t="s">
        <v>254</v>
      </c>
    </row>
    <row r="21" spans="1:7">
      <c r="A21" s="10"/>
      <c r="B21" s="10"/>
      <c r="C21" s="18"/>
      <c r="D21" s="18"/>
      <c r="E21" s="10"/>
      <c r="F21" s="10"/>
      <c r="G21" s="10"/>
    </row>
    <row r="22" spans="1:7">
      <c r="A22" s="10"/>
      <c r="B22" s="10"/>
      <c r="C22" s="18"/>
      <c r="D22" s="18"/>
      <c r="E22" s="10"/>
      <c r="F22" s="10"/>
      <c r="G22" s="10"/>
    </row>
    <row r="23" spans="1:7">
      <c r="A23" s="10"/>
      <c r="B23" s="10"/>
      <c r="C23" s="18"/>
      <c r="D23" s="18"/>
      <c r="E23" s="10"/>
      <c r="F23" s="10"/>
      <c r="G23" s="10"/>
    </row>
    <row r="24" spans="1:7">
      <c r="A24" s="10"/>
      <c r="B24" s="10"/>
      <c r="C24" s="18"/>
      <c r="D24" s="18"/>
      <c r="E24" s="10"/>
      <c r="F24" s="10"/>
      <c r="G24" s="10"/>
    </row>
    <row r="25" spans="1:7">
      <c r="A25" s="10"/>
      <c r="B25" s="10"/>
      <c r="C25" s="18"/>
      <c r="D25" s="18"/>
      <c r="E25" s="10"/>
      <c r="F25" s="10"/>
      <c r="G25" s="10"/>
    </row>
    <row r="26" spans="1:7">
      <c r="A26" s="10"/>
      <c r="B26" s="10"/>
      <c r="C26" s="18"/>
      <c r="D26" s="18"/>
      <c r="E26" s="10"/>
      <c r="F26" s="10"/>
      <c r="G26" s="10"/>
    </row>
    <row r="27" spans="1:7">
      <c r="A27" s="10"/>
      <c r="B27" s="10"/>
      <c r="C27" s="18"/>
      <c r="D27" s="18"/>
      <c r="E27" s="10"/>
      <c r="F27" s="10"/>
      <c r="G27" s="10"/>
    </row>
    <row r="28" spans="1:7">
      <c r="A28" s="10"/>
      <c r="B28" s="10"/>
      <c r="C28" s="18"/>
      <c r="D28" s="18"/>
      <c r="E28" s="10"/>
      <c r="F28" s="10"/>
      <c r="G28" s="10"/>
    </row>
    <row r="29" spans="1:7">
      <c r="A29" s="10"/>
      <c r="B29" s="10"/>
      <c r="C29" s="18"/>
      <c r="D29" s="18"/>
      <c r="E29" s="10"/>
      <c r="F29" s="10"/>
      <c r="G29" s="10"/>
    </row>
    <row r="30" spans="1:7">
      <c r="A30" s="10"/>
      <c r="B30" s="10"/>
      <c r="C30" s="18"/>
      <c r="D30" s="18"/>
      <c r="E30" s="10"/>
      <c r="F30" s="10"/>
      <c r="G30" s="10"/>
    </row>
    <row r="31" spans="1:7">
      <c r="A31" s="10"/>
      <c r="B31" s="10"/>
      <c r="C31" s="18"/>
      <c r="D31" s="18"/>
      <c r="E31" s="10"/>
      <c r="F31" s="10"/>
      <c r="G31" s="10"/>
    </row>
    <row r="32" spans="1:7">
      <c r="A32" s="10"/>
      <c r="B32" s="10"/>
      <c r="C32" s="18"/>
      <c r="D32" s="18"/>
      <c r="E32" s="10"/>
      <c r="F32" s="10"/>
      <c r="G32" s="10"/>
    </row>
    <row r="33" spans="1:7">
      <c r="A33" s="10"/>
      <c r="B33" s="10"/>
      <c r="C33" s="18"/>
      <c r="D33" s="18"/>
      <c r="E33" s="10"/>
      <c r="F33" s="10"/>
      <c r="G33" s="10"/>
    </row>
    <row r="34" spans="1:7">
      <c r="A34" s="10"/>
      <c r="B34" s="10"/>
      <c r="C34" s="18"/>
      <c r="D34" s="18"/>
      <c r="E34" s="10"/>
      <c r="F34" s="10"/>
      <c r="G34" s="10"/>
    </row>
    <row r="35" spans="1:7">
      <c r="A35" s="10"/>
      <c r="B35" s="10"/>
      <c r="C35" s="18"/>
      <c r="D35" s="18"/>
      <c r="E35" s="10"/>
      <c r="F35" s="10"/>
      <c r="G35" s="10"/>
    </row>
    <row r="36" spans="1:7">
      <c r="A36" s="10"/>
      <c r="B36" s="10"/>
      <c r="C36" s="18"/>
      <c r="D36" s="18"/>
      <c r="E36" s="10"/>
      <c r="F36" s="10"/>
      <c r="G36" s="10"/>
    </row>
    <row r="37" spans="1:7">
      <c r="A37" s="10"/>
      <c r="B37" s="10"/>
      <c r="C37" s="18"/>
      <c r="D37" s="18"/>
      <c r="E37" s="10"/>
      <c r="F37" s="10"/>
      <c r="G37" s="10"/>
    </row>
    <row r="38" spans="1:7">
      <c r="A38" s="10"/>
      <c r="B38" s="10"/>
      <c r="C38" s="18"/>
      <c r="D38" s="18"/>
      <c r="E38" s="10"/>
      <c r="F38" s="10"/>
      <c r="G38" s="10"/>
    </row>
    <row r="39" spans="1:7">
      <c r="A39" s="10"/>
      <c r="B39" s="10"/>
      <c r="C39" s="18"/>
      <c r="D39" s="18"/>
      <c r="E39" s="10"/>
      <c r="F39" s="10"/>
      <c r="G39" s="10"/>
    </row>
    <row r="40" spans="1:7">
      <c r="A40" s="10"/>
      <c r="B40" s="10"/>
      <c r="C40" s="18"/>
      <c r="D40" s="18"/>
      <c r="E40" s="10"/>
      <c r="F40" s="10"/>
      <c r="G40" s="10"/>
    </row>
    <row r="41" spans="1:7">
      <c r="A41" s="10"/>
      <c r="B41" s="10"/>
      <c r="C41" s="18"/>
      <c r="D41" s="18"/>
      <c r="E41" s="10"/>
      <c r="F41" s="10"/>
      <c r="G41" s="10"/>
    </row>
    <row r="42" spans="1:7">
      <c r="A42" s="10"/>
      <c r="B42" s="10"/>
      <c r="C42" s="18"/>
      <c r="D42" s="18"/>
      <c r="E42" s="10"/>
      <c r="F42" s="10"/>
      <c r="G42" s="10"/>
    </row>
    <row r="43" spans="1:7">
      <c r="A43" s="10"/>
      <c r="B43" s="10"/>
      <c r="C43" s="18"/>
      <c r="D43" s="18"/>
      <c r="E43" s="10"/>
      <c r="F43" s="10"/>
      <c r="G43" s="10"/>
    </row>
    <row r="44" spans="1:7">
      <c r="A44" s="10"/>
      <c r="B44" s="10"/>
      <c r="C44" s="18"/>
      <c r="D44" s="18"/>
      <c r="E44" s="10"/>
      <c r="F44" s="10"/>
      <c r="G44" s="10"/>
    </row>
    <row r="45" spans="1:7">
      <c r="A45" s="10"/>
      <c r="B45" s="10"/>
      <c r="C45" s="18"/>
      <c r="D45" s="18"/>
      <c r="E45" s="10"/>
      <c r="F45" s="10"/>
      <c r="G45" s="10"/>
    </row>
    <row r="46" spans="1:7">
      <c r="A46" s="10"/>
      <c r="B46" s="10"/>
      <c r="C46" s="18"/>
      <c r="D46" s="18"/>
      <c r="E46" s="10"/>
      <c r="F46" s="10"/>
      <c r="G46" s="10"/>
    </row>
    <row r="47" spans="1:7">
      <c r="A47" s="10"/>
      <c r="B47" s="10"/>
      <c r="C47" s="18"/>
      <c r="D47" s="18"/>
      <c r="E47" s="10"/>
      <c r="F47" s="10"/>
      <c r="G47" s="10"/>
    </row>
    <row r="48" spans="1:7">
      <c r="A48" s="10"/>
      <c r="B48" s="10"/>
      <c r="C48" s="18"/>
      <c r="D48" s="18"/>
      <c r="E48" s="10"/>
      <c r="F48" s="10"/>
      <c r="G48" s="10"/>
    </row>
    <row r="49" spans="1:7">
      <c r="A49" s="10"/>
      <c r="B49" s="10"/>
      <c r="C49" s="18"/>
      <c r="D49" s="18"/>
      <c r="E49" s="10"/>
      <c r="F49" s="10"/>
      <c r="G49" s="10"/>
    </row>
    <row r="50" spans="1:7">
      <c r="A50" s="10"/>
      <c r="B50" s="10"/>
      <c r="C50" s="18"/>
      <c r="D50" s="18"/>
      <c r="E50" s="10"/>
      <c r="F50" s="10"/>
      <c r="G50" s="10"/>
    </row>
    <row r="51" spans="1:7">
      <c r="A51" s="10"/>
      <c r="B51" s="10"/>
      <c r="C51" s="18"/>
      <c r="D51" s="18"/>
      <c r="E51" s="10"/>
      <c r="F51" s="10"/>
      <c r="G51" s="10"/>
    </row>
    <row r="52" spans="1:7">
      <c r="A52" s="10"/>
      <c r="B52" s="10"/>
      <c r="C52" s="18"/>
      <c r="D52" s="18"/>
      <c r="E52" s="10"/>
      <c r="F52" s="10"/>
      <c r="G52" s="10"/>
    </row>
    <row r="53" spans="1:7">
      <c r="A53" s="10"/>
      <c r="B53" s="10"/>
      <c r="C53" s="18"/>
      <c r="D53" s="18"/>
      <c r="E53" s="10"/>
      <c r="F53" s="10"/>
      <c r="G53" s="10"/>
    </row>
    <row r="54" spans="1:7">
      <c r="A54" s="10"/>
      <c r="B54" s="10"/>
      <c r="C54" s="18"/>
      <c r="D54" s="18"/>
      <c r="E54" s="10"/>
      <c r="F54" s="10"/>
      <c r="G54" s="10"/>
    </row>
    <row r="55" spans="1:7">
      <c r="A55" s="10"/>
      <c r="B55" s="10"/>
      <c r="C55" s="18"/>
      <c r="D55" s="18"/>
      <c r="E55" s="10"/>
      <c r="F55" s="10"/>
      <c r="G55" s="10"/>
    </row>
    <row r="56" spans="1:7">
      <c r="A56" s="10"/>
      <c r="B56" s="10"/>
      <c r="C56" s="18"/>
      <c r="D56" s="18"/>
      <c r="E56" s="10"/>
      <c r="F56" s="10"/>
      <c r="G56" s="10"/>
    </row>
    <row r="57" spans="1:7">
      <c r="A57" s="10"/>
      <c r="B57" s="10"/>
      <c r="C57" s="18"/>
      <c r="D57" s="18"/>
      <c r="E57" s="10"/>
      <c r="F57" s="10"/>
      <c r="G57" s="10"/>
    </row>
    <row r="58" spans="1:7">
      <c r="A58" s="10"/>
      <c r="B58" s="10"/>
      <c r="C58" s="18"/>
      <c r="D58" s="18"/>
      <c r="E58" s="10"/>
      <c r="F58" s="10"/>
      <c r="G58" s="10"/>
    </row>
    <row r="59" spans="1:7">
      <c r="A59" s="10"/>
      <c r="B59" s="10"/>
      <c r="C59" s="18"/>
      <c r="D59" s="18"/>
      <c r="E59" s="10"/>
      <c r="F59" s="10"/>
      <c r="G59" s="10"/>
    </row>
    <row r="60" spans="1:7">
      <c r="A60" s="10"/>
      <c r="B60" s="10"/>
      <c r="C60" s="18"/>
      <c r="D60" s="18"/>
      <c r="E60" s="10"/>
      <c r="F60" s="10"/>
      <c r="G60" s="10"/>
    </row>
    <row r="61" spans="1:7">
      <c r="A61" s="10"/>
      <c r="B61" s="10"/>
      <c r="C61" s="18"/>
      <c r="D61" s="18"/>
      <c r="E61" s="10"/>
      <c r="F61" s="10"/>
      <c r="G61" s="10"/>
    </row>
    <row r="62" spans="1:7">
      <c r="A62" s="10"/>
      <c r="B62" s="10"/>
      <c r="C62" s="18"/>
      <c r="D62" s="18"/>
      <c r="E62" s="10"/>
      <c r="F62" s="10"/>
      <c r="G62" s="10"/>
    </row>
    <row r="63" spans="1:7">
      <c r="A63" s="10"/>
      <c r="B63" s="10"/>
      <c r="C63" s="18"/>
      <c r="D63" s="18"/>
      <c r="E63" s="10"/>
      <c r="F63" s="10"/>
      <c r="G63" s="10"/>
    </row>
    <row r="64" spans="1:7">
      <c r="A64" s="10"/>
      <c r="B64" s="10"/>
      <c r="C64" s="18"/>
      <c r="D64" s="18"/>
      <c r="E64" s="10"/>
      <c r="F64" s="10"/>
      <c r="G64" s="10"/>
    </row>
    <row r="65" spans="1:7">
      <c r="A65" s="10"/>
      <c r="B65" s="10"/>
      <c r="C65" s="18"/>
      <c r="D65" s="18"/>
      <c r="E65" s="10"/>
      <c r="F65" s="10"/>
      <c r="G65" s="10"/>
    </row>
    <row r="66" spans="1:7">
      <c r="A66" s="10"/>
      <c r="B66" s="10"/>
      <c r="C66" s="18"/>
      <c r="D66" s="18"/>
      <c r="E66" s="10"/>
      <c r="F66" s="10"/>
      <c r="G66" s="10"/>
    </row>
    <row r="67" spans="1:7">
      <c r="A67" s="10"/>
      <c r="B67" s="10"/>
      <c r="C67" s="18"/>
      <c r="D67" s="18"/>
      <c r="E67" s="10"/>
      <c r="F67" s="10"/>
      <c r="G67" s="10"/>
    </row>
    <row r="68" spans="1:7">
      <c r="A68" s="10"/>
      <c r="B68" s="10"/>
      <c r="C68" s="18"/>
      <c r="D68" s="18"/>
      <c r="E68" s="10"/>
      <c r="F68" s="10"/>
      <c r="G68" s="10"/>
    </row>
    <row r="69" spans="1:7">
      <c r="A69" s="10"/>
      <c r="B69" s="10"/>
      <c r="C69" s="18"/>
      <c r="D69" s="18"/>
      <c r="E69" s="10"/>
      <c r="F69" s="10"/>
      <c r="G69" s="10"/>
    </row>
    <row r="70" spans="1:7">
      <c r="A70" s="10"/>
      <c r="B70" s="10"/>
      <c r="C70" s="18"/>
      <c r="D70" s="18"/>
      <c r="E70" s="10"/>
      <c r="F70" s="10"/>
      <c r="G70" s="10"/>
    </row>
    <row r="71" spans="1:7">
      <c r="A71" s="10"/>
      <c r="B71" s="10"/>
      <c r="C71" s="18"/>
      <c r="D71" s="18"/>
      <c r="E71" s="10"/>
      <c r="F71" s="10"/>
      <c r="G71" s="10"/>
    </row>
    <row r="72" spans="1:7">
      <c r="A72" s="10"/>
      <c r="B72" s="10"/>
      <c r="C72" s="18"/>
      <c r="D72" s="18"/>
      <c r="E72" s="10"/>
      <c r="F72" s="10"/>
      <c r="G72" s="10"/>
    </row>
    <row r="73" spans="1:7">
      <c r="A73" s="10"/>
      <c r="B73" s="10"/>
      <c r="C73" s="18"/>
      <c r="D73" s="18"/>
      <c r="E73" s="10"/>
      <c r="F73" s="10"/>
      <c r="G73" s="10"/>
    </row>
    <row r="74" spans="1:7">
      <c r="A74" s="10"/>
      <c r="B74" s="10"/>
      <c r="C74" s="18"/>
      <c r="D74" s="18"/>
      <c r="E74" s="10"/>
      <c r="F74" s="10"/>
      <c r="G74" s="10"/>
    </row>
    <row r="75" spans="1:7">
      <c r="A75" s="10"/>
      <c r="B75" s="10"/>
      <c r="C75" s="18"/>
      <c r="D75" s="18"/>
      <c r="E75" s="10"/>
      <c r="F75" s="10"/>
      <c r="G75" s="10"/>
    </row>
    <row r="76" spans="1:7">
      <c r="A76" s="10"/>
      <c r="B76" s="10"/>
      <c r="C76" s="18"/>
      <c r="D76" s="18"/>
      <c r="E76" s="10"/>
      <c r="F76" s="10"/>
      <c r="G76" s="10"/>
    </row>
    <row r="77" spans="1:7">
      <c r="A77" s="10"/>
      <c r="B77" s="10"/>
      <c r="C77" s="18"/>
      <c r="D77" s="18"/>
      <c r="E77" s="10"/>
      <c r="F77" s="10"/>
      <c r="G77" s="10"/>
    </row>
    <row r="78" spans="1:7">
      <c r="A78" s="10"/>
      <c r="B78" s="10"/>
      <c r="C78" s="18"/>
      <c r="D78" s="18"/>
      <c r="E78" s="10"/>
      <c r="F78" s="10"/>
      <c r="G78" s="10"/>
    </row>
    <row r="79" spans="1:7">
      <c r="A79" s="10"/>
      <c r="B79" s="10"/>
      <c r="C79" s="18"/>
      <c r="D79" s="18"/>
      <c r="E79" s="10"/>
      <c r="F79" s="10"/>
      <c r="G79" s="10"/>
    </row>
    <row r="80" spans="1:7">
      <c r="A80" s="10"/>
      <c r="B80" s="10"/>
      <c r="C80" s="18"/>
      <c r="D80" s="18"/>
      <c r="E80" s="10"/>
      <c r="F80" s="10"/>
      <c r="G80" s="10"/>
    </row>
  </sheetData>
  <mergeCells count="2">
    <mergeCell ref="A1:G1"/>
    <mergeCell ref="A2:G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0"/>
  <sheetViews>
    <sheetView showGridLines="0" tabSelected="1" workbookViewId="0">
      <selection activeCell="C22" sqref="C22"/>
    </sheetView>
  </sheetViews>
  <sheetFormatPr baseColWidth="10" defaultColWidth="8.83203125" defaultRowHeight="14"/>
  <cols>
    <col min="1" max="1" width="48" customWidth="1"/>
    <col min="2" max="2" width="20" customWidth="1"/>
    <col min="3" max="4" width="16" customWidth="1"/>
    <col min="5" max="7" width="36" customWidth="1"/>
  </cols>
  <sheetData>
    <row r="1" spans="1:7">
      <c r="A1" s="29" t="s">
        <v>255</v>
      </c>
      <c r="B1" s="30"/>
      <c r="C1" s="31"/>
      <c r="D1" s="31"/>
      <c r="E1" s="30"/>
      <c r="F1" s="30"/>
      <c r="G1" s="30"/>
    </row>
    <row r="2" spans="1:7">
      <c r="A2" s="28" t="s">
        <v>220</v>
      </c>
      <c r="B2" s="30"/>
      <c r="C2" s="30"/>
      <c r="D2" s="30"/>
      <c r="E2" s="30"/>
      <c r="F2" s="30"/>
      <c r="G2" s="30"/>
    </row>
    <row r="3" spans="1:7">
      <c r="A3" s="10"/>
      <c r="B3" s="10"/>
      <c r="C3" s="10"/>
      <c r="D3" s="10"/>
      <c r="E3" s="10"/>
      <c r="F3" s="10"/>
      <c r="G3" s="10"/>
    </row>
    <row r="4" spans="1:7">
      <c r="A4" s="19" t="s">
        <v>24</v>
      </c>
      <c r="B4" s="19" t="s">
        <v>221</v>
      </c>
      <c r="C4" s="19" t="s">
        <v>26</v>
      </c>
      <c r="D4" s="19" t="s">
        <v>27</v>
      </c>
      <c r="E4" s="19" t="s">
        <v>222</v>
      </c>
      <c r="F4" s="19" t="s">
        <v>223</v>
      </c>
      <c r="G4" s="19" t="s">
        <v>224</v>
      </c>
    </row>
    <row r="5" spans="1:7">
      <c r="A5" s="19" t="s">
        <v>256</v>
      </c>
      <c r="B5" s="19"/>
      <c r="C5" s="20"/>
      <c r="D5" s="20"/>
      <c r="E5" s="19"/>
      <c r="F5" s="19"/>
      <c r="G5" s="19"/>
    </row>
    <row r="6" spans="1:7">
      <c r="A6" s="2" t="s">
        <v>97</v>
      </c>
      <c r="B6" s="10" t="s">
        <v>226</v>
      </c>
      <c r="C6" s="18">
        <f>'P&amp;L'!C50</f>
        <v>15500000</v>
      </c>
      <c r="D6" s="18">
        <f>'P&amp;L'!D50</f>
        <v>13744000</v>
      </c>
      <c r="E6" s="10" t="s">
        <v>227</v>
      </c>
      <c r="F6" s="10" t="s">
        <v>257</v>
      </c>
      <c r="G6" s="10" t="s">
        <v>258</v>
      </c>
    </row>
    <row r="7" spans="1:7">
      <c r="A7" s="2" t="s">
        <v>259</v>
      </c>
      <c r="B7" s="10" t="s">
        <v>226</v>
      </c>
      <c r="C7" s="18">
        <f>-'P&amp;L'!C33</f>
        <v>3178000</v>
      </c>
      <c r="D7" s="18">
        <f>-'P&amp;L'!D33</f>
        <v>3179000</v>
      </c>
      <c r="E7" s="10" t="s">
        <v>227</v>
      </c>
      <c r="F7" s="10" t="s">
        <v>260</v>
      </c>
      <c r="G7" s="10" t="s">
        <v>261</v>
      </c>
    </row>
    <row r="8" spans="1:7" ht="28">
      <c r="A8" s="2" t="s">
        <v>262</v>
      </c>
      <c r="B8" s="10" t="s">
        <v>226</v>
      </c>
      <c r="C8" s="18">
        <f>-'P&amp;L'!C34</f>
        <v>2729000</v>
      </c>
      <c r="D8" s="18">
        <f>-'P&amp;L'!D34</f>
        <v>3465000</v>
      </c>
      <c r="E8" s="10" t="s">
        <v>227</v>
      </c>
      <c r="F8" s="10" t="s">
        <v>260</v>
      </c>
      <c r="G8" s="10" t="s">
        <v>263</v>
      </c>
    </row>
    <row r="9" spans="1:7">
      <c r="A9" s="2" t="s">
        <v>264</v>
      </c>
      <c r="B9" s="10" t="s">
        <v>226</v>
      </c>
      <c r="C9" s="18">
        <f>-'P&amp;L'!C35</f>
        <v>12546000</v>
      </c>
      <c r="D9" s="18">
        <f>-'P&amp;L'!D35</f>
        <v>12136000</v>
      </c>
      <c r="E9" s="10" t="s">
        <v>227</v>
      </c>
      <c r="F9" s="10" t="s">
        <v>260</v>
      </c>
      <c r="G9" s="10"/>
    </row>
    <row r="10" spans="1:7">
      <c r="A10" s="2" t="s">
        <v>265</v>
      </c>
      <c r="B10" s="10" t="s">
        <v>226</v>
      </c>
      <c r="C10" s="18">
        <f>-'P&amp;L'!C39</f>
        <v>251000</v>
      </c>
      <c r="D10" s="18">
        <f>-'P&amp;L'!D39</f>
        <v>624000</v>
      </c>
      <c r="E10" s="10" t="s">
        <v>227</v>
      </c>
      <c r="F10" s="10" t="s">
        <v>260</v>
      </c>
      <c r="G10" s="10"/>
    </row>
    <row r="11" spans="1:7">
      <c r="A11" s="2" t="s">
        <v>266</v>
      </c>
      <c r="B11" s="10" t="s">
        <v>226</v>
      </c>
      <c r="C11" s="18">
        <f>-'P&amp;L'!C12</f>
        <v>-665000</v>
      </c>
      <c r="D11" s="18">
        <f>-'P&amp;L'!D12</f>
        <v>-687000</v>
      </c>
      <c r="E11" s="10" t="s">
        <v>227</v>
      </c>
      <c r="F11" s="10" t="s">
        <v>267</v>
      </c>
      <c r="G11" s="10"/>
    </row>
    <row r="12" spans="1:7" ht="28">
      <c r="A12" s="2" t="s">
        <v>268</v>
      </c>
      <c r="B12" s="10" t="s">
        <v>232</v>
      </c>
      <c r="C12" s="18">
        <f>-SUM('Balance Sheet'!C37-'Balance Sheet'!D37,'Balance Sheet'!C46-'Balance Sheet'!D46,'Balance Sheet'!C49-'Balance Sheet'!D49)</f>
        <v>359000</v>
      </c>
      <c r="D12" s="18">
        <f>-SUM('Balance Sheet'!D37-'Balance Sheet'!E37,'Balance Sheet'!D46-'Balance Sheet'!E46,'Balance Sheet'!D49-'Balance Sheet'!E49)</f>
        <v>1106000</v>
      </c>
      <c r="E12" s="10" t="s">
        <v>245</v>
      </c>
      <c r="F12" s="10" t="s">
        <v>269</v>
      </c>
      <c r="G12" s="10" t="s">
        <v>270</v>
      </c>
    </row>
    <row r="13" spans="1:7" ht="28">
      <c r="A13" s="2" t="s">
        <v>271</v>
      </c>
      <c r="B13" s="10" t="s">
        <v>232</v>
      </c>
      <c r="C13" s="18">
        <f>SUM('Balance Sheet'!C80-'Balance Sheet'!D80,'Balance Sheet'!C87-'Balance Sheet'!D87,'Balance Sheet'!C90-'Balance Sheet'!D90,'Balance Sheet'!C81-'Balance Sheet'!D81)</f>
        <v>419000</v>
      </c>
      <c r="D13" s="18">
        <f>SUM('Balance Sheet'!D80-'Balance Sheet'!E80,'Balance Sheet'!D87-'Balance Sheet'!E87,'Balance Sheet'!D90-'Balance Sheet'!E90,'Balance Sheet'!D81-'Balance Sheet'!E81)</f>
        <v>-1592000</v>
      </c>
      <c r="E13" s="10" t="s">
        <v>245</v>
      </c>
      <c r="F13" s="10" t="s">
        <v>269</v>
      </c>
      <c r="G13" s="10" t="s">
        <v>272</v>
      </c>
    </row>
    <row r="14" spans="1:7" ht="28">
      <c r="A14" s="21" t="s">
        <v>273</v>
      </c>
      <c r="B14" s="21" t="s">
        <v>232</v>
      </c>
      <c r="C14" s="22">
        <f>SUM(C6:C13)</f>
        <v>34317000</v>
      </c>
      <c r="D14" s="22">
        <f>SUM(D6:D13)</f>
        <v>31975000</v>
      </c>
      <c r="E14" s="21" t="s">
        <v>102</v>
      </c>
      <c r="F14" s="21" t="s">
        <v>274</v>
      </c>
      <c r="G14" s="21"/>
    </row>
    <row r="15" spans="1:7">
      <c r="A15" s="19" t="s">
        <v>275</v>
      </c>
      <c r="B15" s="19"/>
      <c r="C15" s="20"/>
      <c r="D15" s="20"/>
      <c r="E15" s="19"/>
      <c r="F15" s="19"/>
      <c r="G15" s="19"/>
    </row>
    <row r="16" spans="1:7" ht="28">
      <c r="A16" s="2" t="s">
        <v>276</v>
      </c>
      <c r="B16" s="10" t="s">
        <v>232</v>
      </c>
      <c r="C16" s="18">
        <f>-SUM('Balance Sheet'!C7-'Balance Sheet'!D7,'Balance Sheet'!C15-'Balance Sheet'!D15,'Balance Sheet'!C19-'Balance Sheet'!D19,'Balance Sheet'!C22-'Balance Sheet'!D22,'Balance Sheet'!C26-'Balance Sheet'!D26,'Balance Sheet'!C32-'Balance Sheet'!D32,'Balance Sheet'!C33-'Balance Sheet'!D33)</f>
        <v>-6536000</v>
      </c>
      <c r="D16" s="18">
        <f>-SUM('Balance Sheet'!D7-'Balance Sheet'!E7,'Balance Sheet'!D15-'Balance Sheet'!E15,'Balance Sheet'!D19-'Balance Sheet'!E19,'Balance Sheet'!D22-'Balance Sheet'!E22,'Balance Sheet'!D26-'Balance Sheet'!E26,'Balance Sheet'!D32-'Balance Sheet'!E32,'Balance Sheet'!D33-'Balance Sheet'!E33)</f>
        <v>-71047000</v>
      </c>
      <c r="E16" s="10" t="s">
        <v>245</v>
      </c>
      <c r="F16" s="10" t="s">
        <v>269</v>
      </c>
      <c r="G16" s="10" t="s">
        <v>277</v>
      </c>
    </row>
    <row r="17" spans="1:7" ht="28">
      <c r="A17" s="2" t="s">
        <v>278</v>
      </c>
      <c r="B17" s="10" t="s">
        <v>232</v>
      </c>
      <c r="C17" s="18">
        <f>-SUM('Balance Sheet'!C34-'Balance Sheet'!D34,'Balance Sheet'!C38-'Balance Sheet'!D38,'Balance Sheet'!C43-'Balance Sheet'!D43)</f>
        <v>6825000</v>
      </c>
      <c r="D17" s="18">
        <f>-SUM('Balance Sheet'!D34-'Balance Sheet'!E34,'Balance Sheet'!D38-'Balance Sheet'!E38,'Balance Sheet'!D43-'Balance Sheet'!E43)</f>
        <v>2776000</v>
      </c>
      <c r="E17" s="10" t="s">
        <v>245</v>
      </c>
      <c r="F17" s="10" t="s">
        <v>269</v>
      </c>
      <c r="G17" s="10" t="s">
        <v>279</v>
      </c>
    </row>
    <row r="18" spans="1:7" ht="28">
      <c r="A18" s="2" t="s">
        <v>280</v>
      </c>
      <c r="B18" s="10" t="s">
        <v>232</v>
      </c>
      <c r="C18" s="18">
        <f>-('Balance Sheet'!C53-'Balance Sheet'!D53)+('Balance Sheet'!C91-'Balance Sheet'!D91)</f>
        <v>-8014000</v>
      </c>
      <c r="D18" s="18">
        <f>-('Balance Sheet'!D53-'Balance Sheet'!E53)+('Balance Sheet'!D91-'Balance Sheet'!E91)</f>
        <v>-988000</v>
      </c>
      <c r="E18" s="10" t="s">
        <v>245</v>
      </c>
      <c r="F18" s="10" t="s">
        <v>269</v>
      </c>
      <c r="G18" s="10" t="s">
        <v>281</v>
      </c>
    </row>
    <row r="19" spans="1:7">
      <c r="A19" s="2" t="s">
        <v>282</v>
      </c>
      <c r="B19" s="10" t="s">
        <v>232</v>
      </c>
      <c r="C19" s="18">
        <f>SUM('Balance Sheet'!C56-'Balance Sheet'!D56,'Balance Sheet'!C63-'Balance Sheet'!D63,'Balance Sheet'!C70-'Balance Sheet'!D70,'Balance Sheet'!C32-'Balance Sheet'!D32,'Balance Sheet'!C33-'Balance Sheet'!D33)</f>
        <v>-38942000</v>
      </c>
      <c r="D19" s="18">
        <f>SUM('Balance Sheet'!D56-'Balance Sheet'!E56,'Balance Sheet'!D63-'Balance Sheet'!E63,'Balance Sheet'!D70-'Balance Sheet'!E70,'Balance Sheet'!D32-'Balance Sheet'!E32,'Balance Sheet'!D33-'Balance Sheet'!E33)</f>
        <v>41952000</v>
      </c>
      <c r="E19" s="10" t="s">
        <v>245</v>
      </c>
      <c r="F19" s="10" t="s">
        <v>269</v>
      </c>
      <c r="G19" s="10" t="s">
        <v>283</v>
      </c>
    </row>
    <row r="20" spans="1:7" ht="42">
      <c r="A20" s="2" t="s">
        <v>284</v>
      </c>
      <c r="B20" s="10" t="s">
        <v>232</v>
      </c>
      <c r="C20" s="18">
        <f>('Balance Sheet'!C117-'Balance Sheet'!D117)-'P&amp;L'!C50</f>
        <v>-10079000</v>
      </c>
      <c r="D20" s="18">
        <f>('Balance Sheet'!D117-'Balance Sheet'!E117)-'P&amp;L'!D50</f>
        <v>-10658000</v>
      </c>
      <c r="E20" s="10" t="s">
        <v>285</v>
      </c>
      <c r="F20" s="10" t="s">
        <v>269</v>
      </c>
      <c r="G20" s="10" t="s">
        <v>286</v>
      </c>
    </row>
    <row r="21" spans="1:7">
      <c r="A21" s="21" t="s">
        <v>233</v>
      </c>
      <c r="B21" s="21" t="s">
        <v>232</v>
      </c>
      <c r="C21" s="22">
        <f>C14+SUM(C16:C20)</f>
        <v>-22429000</v>
      </c>
      <c r="D21" s="22">
        <f>D14+SUM(D16:D20)</f>
        <v>-5990000</v>
      </c>
      <c r="E21" s="21" t="s">
        <v>102</v>
      </c>
      <c r="F21" s="21" t="s">
        <v>234</v>
      </c>
      <c r="G21" s="21"/>
    </row>
    <row r="22" spans="1:7" ht="70">
      <c r="A22" s="23" t="s">
        <v>236</v>
      </c>
      <c r="B22" s="23" t="s">
        <v>232</v>
      </c>
      <c r="C22" s="24">
        <f>('Balance Sheet'!C6-'Balance Sheet'!D6)-C21</f>
        <v>-17498000</v>
      </c>
      <c r="D22" s="24">
        <f>('Balance Sheet'!D6-'Balance Sheet'!E6)-D21</f>
        <v>-22144000</v>
      </c>
      <c r="E22" s="23" t="s">
        <v>102</v>
      </c>
      <c r="F22" s="23" t="s">
        <v>237</v>
      </c>
      <c r="G22" s="23" t="s">
        <v>287</v>
      </c>
    </row>
    <row r="23" spans="1:7" ht="28">
      <c r="A23" s="21" t="s">
        <v>239</v>
      </c>
      <c r="B23" s="21" t="s">
        <v>232</v>
      </c>
      <c r="C23" s="22">
        <f>C21+C22</f>
        <v>-39927000</v>
      </c>
      <c r="D23" s="22">
        <f>D21+D22</f>
        <v>-28134000</v>
      </c>
      <c r="E23" s="21" t="s">
        <v>102</v>
      </c>
      <c r="F23" s="21" t="s">
        <v>240</v>
      </c>
      <c r="G23" s="21" t="s">
        <v>241</v>
      </c>
    </row>
    <row r="24" spans="1:7">
      <c r="A24" s="2" t="s">
        <v>243</v>
      </c>
      <c r="B24" s="10" t="s">
        <v>244</v>
      </c>
      <c r="C24" s="18">
        <f>'Balance Sheet'!D6</f>
        <v>192208000</v>
      </c>
      <c r="D24" s="18">
        <f>'Balance Sheet'!E6</f>
        <v>220342000</v>
      </c>
      <c r="E24" s="10" t="s">
        <v>245</v>
      </c>
      <c r="F24" s="10" t="s">
        <v>246</v>
      </c>
      <c r="G24" s="10"/>
    </row>
    <row r="25" spans="1:7" ht="28">
      <c r="A25" s="21" t="s">
        <v>288</v>
      </c>
      <c r="B25" s="21" t="s">
        <v>232</v>
      </c>
      <c r="C25" s="22">
        <f>C24+C23</f>
        <v>152281000</v>
      </c>
      <c r="D25" s="22">
        <f>D24+D23</f>
        <v>192208000</v>
      </c>
      <c r="E25" s="21" t="s">
        <v>102</v>
      </c>
      <c r="F25" s="21" t="s">
        <v>248</v>
      </c>
      <c r="G25" s="21" t="s">
        <v>249</v>
      </c>
    </row>
    <row r="26" spans="1:7">
      <c r="A26" s="2" t="s">
        <v>250</v>
      </c>
      <c r="B26" s="10" t="s">
        <v>244</v>
      </c>
      <c r="C26" s="18">
        <f>'Balance Sheet'!C6</f>
        <v>152281000</v>
      </c>
      <c r="D26" s="18">
        <f>'Balance Sheet'!D6</f>
        <v>192208000</v>
      </c>
      <c r="E26" s="10" t="s">
        <v>245</v>
      </c>
      <c r="F26" s="10" t="s">
        <v>251</v>
      </c>
      <c r="G26" s="10"/>
    </row>
    <row r="27" spans="1:7" ht="28">
      <c r="A27" s="23" t="s">
        <v>289</v>
      </c>
      <c r="B27" s="23" t="s">
        <v>232</v>
      </c>
      <c r="C27" s="24">
        <f>C25-C26</f>
        <v>0</v>
      </c>
      <c r="D27" s="24">
        <f>D25-D26</f>
        <v>0</v>
      </c>
      <c r="E27" s="23" t="s">
        <v>102</v>
      </c>
      <c r="F27" s="23" t="s">
        <v>253</v>
      </c>
      <c r="G27" s="23" t="s">
        <v>290</v>
      </c>
    </row>
    <row r="28" spans="1:7">
      <c r="A28" s="10"/>
      <c r="B28" s="10"/>
      <c r="C28" s="18"/>
      <c r="D28" s="18"/>
      <c r="E28" s="10"/>
      <c r="F28" s="10"/>
      <c r="G28" s="10"/>
    </row>
    <row r="29" spans="1:7">
      <c r="A29" s="10"/>
      <c r="B29" s="10"/>
      <c r="C29" s="18"/>
      <c r="D29" s="18"/>
      <c r="E29" s="10"/>
      <c r="F29" s="10"/>
      <c r="G29" s="10"/>
    </row>
    <row r="30" spans="1:7">
      <c r="A30" s="10"/>
      <c r="B30" s="10"/>
      <c r="C30" s="18"/>
      <c r="D30" s="18"/>
      <c r="E30" s="10"/>
      <c r="F30" s="10"/>
      <c r="G30" s="10"/>
    </row>
    <row r="31" spans="1:7">
      <c r="A31" s="10"/>
      <c r="B31" s="10"/>
      <c r="C31" s="18"/>
      <c r="D31" s="18"/>
      <c r="E31" s="10"/>
      <c r="F31" s="10"/>
      <c r="G31" s="10"/>
    </row>
    <row r="32" spans="1:7">
      <c r="A32" s="10"/>
      <c r="B32" s="10"/>
      <c r="C32" s="18"/>
      <c r="D32" s="18"/>
      <c r="E32" s="10"/>
      <c r="F32" s="10"/>
      <c r="G32" s="10"/>
    </row>
    <row r="33" spans="1:7">
      <c r="A33" s="10"/>
      <c r="B33" s="10"/>
      <c r="C33" s="18"/>
      <c r="D33" s="18"/>
      <c r="E33" s="10"/>
      <c r="F33" s="10"/>
      <c r="G33" s="10"/>
    </row>
    <row r="34" spans="1:7">
      <c r="A34" s="10"/>
      <c r="B34" s="10"/>
      <c r="C34" s="18"/>
      <c r="D34" s="18"/>
      <c r="E34" s="10"/>
      <c r="F34" s="10"/>
      <c r="G34" s="10"/>
    </row>
    <row r="35" spans="1:7">
      <c r="A35" s="10"/>
      <c r="B35" s="10"/>
      <c r="C35" s="18"/>
      <c r="D35" s="18"/>
      <c r="E35" s="10"/>
      <c r="F35" s="10"/>
      <c r="G35" s="10"/>
    </row>
    <row r="36" spans="1:7">
      <c r="A36" s="10"/>
      <c r="B36" s="10"/>
      <c r="C36" s="18"/>
      <c r="D36" s="18"/>
      <c r="E36" s="10"/>
      <c r="F36" s="10"/>
      <c r="G36" s="10"/>
    </row>
    <row r="37" spans="1:7">
      <c r="A37" s="10"/>
      <c r="B37" s="10"/>
      <c r="C37" s="18"/>
      <c r="D37" s="18"/>
      <c r="E37" s="10"/>
      <c r="F37" s="10"/>
      <c r="G37" s="10"/>
    </row>
    <row r="38" spans="1:7">
      <c r="A38" s="10"/>
      <c r="B38" s="10"/>
      <c r="C38" s="18"/>
      <c r="D38" s="18"/>
      <c r="E38" s="10"/>
      <c r="F38" s="10"/>
      <c r="G38" s="10"/>
    </row>
    <row r="39" spans="1:7">
      <c r="A39" s="10"/>
      <c r="B39" s="10"/>
      <c r="C39" s="18"/>
      <c r="D39" s="18"/>
      <c r="E39" s="10"/>
      <c r="F39" s="10"/>
      <c r="G39" s="10"/>
    </row>
    <row r="40" spans="1:7">
      <c r="A40" s="10"/>
      <c r="B40" s="10"/>
      <c r="C40" s="18"/>
      <c r="D40" s="18"/>
      <c r="E40" s="10"/>
      <c r="F40" s="10"/>
      <c r="G40" s="10"/>
    </row>
    <row r="41" spans="1:7">
      <c r="A41" s="10"/>
      <c r="B41" s="10"/>
      <c r="C41" s="18"/>
      <c r="D41" s="18"/>
      <c r="E41" s="10"/>
      <c r="F41" s="10"/>
      <c r="G41" s="10"/>
    </row>
    <row r="42" spans="1:7">
      <c r="A42" s="10"/>
      <c r="B42" s="10"/>
      <c r="C42" s="18"/>
      <c r="D42" s="18"/>
      <c r="E42" s="10"/>
      <c r="F42" s="10"/>
      <c r="G42" s="10"/>
    </row>
    <row r="43" spans="1:7">
      <c r="A43" s="10"/>
      <c r="B43" s="10"/>
      <c r="C43" s="18"/>
      <c r="D43" s="18"/>
      <c r="E43" s="10"/>
      <c r="F43" s="10"/>
      <c r="G43" s="10"/>
    </row>
    <row r="44" spans="1:7">
      <c r="A44" s="10"/>
      <c r="B44" s="10"/>
      <c r="C44" s="18"/>
      <c r="D44" s="18"/>
      <c r="E44" s="10"/>
      <c r="F44" s="10"/>
      <c r="G44" s="10"/>
    </row>
    <row r="45" spans="1:7">
      <c r="A45" s="10"/>
      <c r="B45" s="10"/>
      <c r="C45" s="18"/>
      <c r="D45" s="18"/>
      <c r="E45" s="10"/>
      <c r="F45" s="10"/>
      <c r="G45" s="10"/>
    </row>
    <row r="46" spans="1:7">
      <c r="A46" s="10"/>
      <c r="B46" s="10"/>
      <c r="C46" s="18"/>
      <c r="D46" s="18"/>
      <c r="E46" s="10"/>
      <c r="F46" s="10"/>
      <c r="G46" s="10"/>
    </row>
    <row r="47" spans="1:7">
      <c r="A47" s="10"/>
      <c r="B47" s="10"/>
      <c r="C47" s="18"/>
      <c r="D47" s="18"/>
      <c r="E47" s="10"/>
      <c r="F47" s="10"/>
      <c r="G47" s="10"/>
    </row>
    <row r="48" spans="1:7">
      <c r="A48" s="10"/>
      <c r="B48" s="10"/>
      <c r="C48" s="18"/>
      <c r="D48" s="18"/>
      <c r="E48" s="10"/>
      <c r="F48" s="10"/>
      <c r="G48" s="10"/>
    </row>
    <row r="49" spans="1:7">
      <c r="A49" s="10"/>
      <c r="B49" s="10"/>
      <c r="C49" s="18"/>
      <c r="D49" s="18"/>
      <c r="E49" s="10"/>
      <c r="F49" s="10"/>
      <c r="G49" s="10"/>
    </row>
    <row r="50" spans="1:7">
      <c r="A50" s="10"/>
      <c r="B50" s="10"/>
      <c r="C50" s="18"/>
      <c r="D50" s="18"/>
      <c r="E50" s="10"/>
      <c r="F50" s="10"/>
      <c r="G50" s="10"/>
    </row>
    <row r="51" spans="1:7">
      <c r="A51" s="10"/>
      <c r="B51" s="10"/>
      <c r="C51" s="18"/>
      <c r="D51" s="18"/>
      <c r="E51" s="10"/>
      <c r="F51" s="10"/>
      <c r="G51" s="10"/>
    </row>
    <row r="52" spans="1:7">
      <c r="A52" s="10"/>
      <c r="B52" s="10"/>
      <c r="C52" s="18"/>
      <c r="D52" s="18"/>
      <c r="E52" s="10"/>
      <c r="F52" s="10"/>
      <c r="G52" s="10"/>
    </row>
    <row r="53" spans="1:7">
      <c r="A53" s="10"/>
      <c r="B53" s="10"/>
      <c r="C53" s="18"/>
      <c r="D53" s="18"/>
      <c r="E53" s="10"/>
      <c r="F53" s="10"/>
      <c r="G53" s="10"/>
    </row>
    <row r="54" spans="1:7">
      <c r="A54" s="10"/>
      <c r="B54" s="10"/>
      <c r="C54" s="18"/>
      <c r="D54" s="18"/>
      <c r="E54" s="10"/>
      <c r="F54" s="10"/>
      <c r="G54" s="10"/>
    </row>
    <row r="55" spans="1:7">
      <c r="A55" s="10"/>
      <c r="B55" s="10"/>
      <c r="C55" s="18"/>
      <c r="D55" s="18"/>
      <c r="E55" s="10"/>
      <c r="F55" s="10"/>
      <c r="G55" s="10"/>
    </row>
    <row r="56" spans="1:7">
      <c r="A56" s="10"/>
      <c r="B56" s="10"/>
      <c r="C56" s="18"/>
      <c r="D56" s="18"/>
      <c r="E56" s="10"/>
      <c r="F56" s="10"/>
      <c r="G56" s="10"/>
    </row>
    <row r="57" spans="1:7">
      <c r="A57" s="10"/>
      <c r="B57" s="10"/>
      <c r="C57" s="18"/>
      <c r="D57" s="18"/>
      <c r="E57" s="10"/>
      <c r="F57" s="10"/>
      <c r="G57" s="10"/>
    </row>
    <row r="58" spans="1:7">
      <c r="A58" s="10"/>
      <c r="B58" s="10"/>
      <c r="C58" s="18"/>
      <c r="D58" s="18"/>
      <c r="E58" s="10"/>
      <c r="F58" s="10"/>
      <c r="G58" s="10"/>
    </row>
    <row r="59" spans="1:7">
      <c r="A59" s="10"/>
      <c r="B59" s="10"/>
      <c r="C59" s="18"/>
      <c r="D59" s="18"/>
      <c r="E59" s="10"/>
      <c r="F59" s="10"/>
      <c r="G59" s="10"/>
    </row>
    <row r="60" spans="1:7">
      <c r="A60" s="10"/>
      <c r="B60" s="10"/>
      <c r="C60" s="18"/>
      <c r="D60" s="18"/>
      <c r="E60" s="10"/>
      <c r="F60" s="10"/>
      <c r="G60" s="10"/>
    </row>
    <row r="61" spans="1:7">
      <c r="A61" s="10"/>
      <c r="B61" s="10"/>
      <c r="C61" s="18"/>
      <c r="D61" s="18"/>
      <c r="E61" s="10"/>
      <c r="F61" s="10"/>
      <c r="G61" s="10"/>
    </row>
    <row r="62" spans="1:7">
      <c r="A62" s="10"/>
      <c r="B62" s="10"/>
      <c r="C62" s="18"/>
      <c r="D62" s="18"/>
      <c r="E62" s="10"/>
      <c r="F62" s="10"/>
      <c r="G62" s="10"/>
    </row>
    <row r="63" spans="1:7">
      <c r="A63" s="10"/>
      <c r="B63" s="10"/>
      <c r="C63" s="18"/>
      <c r="D63" s="18"/>
      <c r="E63" s="10"/>
      <c r="F63" s="10"/>
      <c r="G63" s="10"/>
    </row>
    <row r="64" spans="1:7">
      <c r="A64" s="10"/>
      <c r="B64" s="10"/>
      <c r="C64" s="18"/>
      <c r="D64" s="18"/>
      <c r="E64" s="10"/>
      <c r="F64" s="10"/>
      <c r="G64" s="10"/>
    </row>
    <row r="65" spans="1:7">
      <c r="A65" s="10"/>
      <c r="B65" s="10"/>
      <c r="C65" s="18"/>
      <c r="D65" s="18"/>
      <c r="E65" s="10"/>
      <c r="F65" s="10"/>
      <c r="G65" s="10"/>
    </row>
    <row r="66" spans="1:7">
      <c r="A66" s="10"/>
      <c r="B66" s="10"/>
      <c r="C66" s="18"/>
      <c r="D66" s="18"/>
      <c r="E66" s="10"/>
      <c r="F66" s="10"/>
      <c r="G66" s="10"/>
    </row>
    <row r="67" spans="1:7">
      <c r="A67" s="10"/>
      <c r="B67" s="10"/>
      <c r="C67" s="18"/>
      <c r="D67" s="18"/>
      <c r="E67" s="10"/>
      <c r="F67" s="10"/>
      <c r="G67" s="10"/>
    </row>
    <row r="68" spans="1:7">
      <c r="A68" s="10"/>
      <c r="B68" s="10"/>
      <c r="C68" s="18"/>
      <c r="D68" s="18"/>
      <c r="E68" s="10"/>
      <c r="F68" s="10"/>
      <c r="G68" s="10"/>
    </row>
    <row r="69" spans="1:7">
      <c r="A69" s="10"/>
      <c r="B69" s="10"/>
      <c r="C69" s="18"/>
      <c r="D69" s="18"/>
      <c r="E69" s="10"/>
      <c r="F69" s="10"/>
      <c r="G69" s="10"/>
    </row>
    <row r="70" spans="1:7">
      <c r="A70" s="10"/>
      <c r="B70" s="10"/>
      <c r="C70" s="18"/>
      <c r="D70" s="18"/>
      <c r="E70" s="10"/>
      <c r="F70" s="10"/>
      <c r="G70" s="10"/>
    </row>
    <row r="71" spans="1:7">
      <c r="A71" s="10"/>
      <c r="B71" s="10"/>
      <c r="C71" s="18"/>
      <c r="D71" s="18"/>
      <c r="E71" s="10"/>
      <c r="F71" s="10"/>
      <c r="G71" s="10"/>
    </row>
    <row r="72" spans="1:7">
      <c r="A72" s="10"/>
      <c r="B72" s="10"/>
      <c r="C72" s="18"/>
      <c r="D72" s="18"/>
      <c r="E72" s="10"/>
      <c r="F72" s="10"/>
      <c r="G72" s="10"/>
    </row>
    <row r="73" spans="1:7">
      <c r="A73" s="10"/>
      <c r="B73" s="10"/>
      <c r="C73" s="18"/>
      <c r="D73" s="18"/>
      <c r="E73" s="10"/>
      <c r="F73" s="10"/>
      <c r="G73" s="10"/>
    </row>
    <row r="74" spans="1:7">
      <c r="A74" s="10"/>
      <c r="B74" s="10"/>
      <c r="C74" s="18"/>
      <c r="D74" s="18"/>
      <c r="E74" s="10"/>
      <c r="F74" s="10"/>
      <c r="G74" s="10"/>
    </row>
    <row r="75" spans="1:7">
      <c r="A75" s="10"/>
      <c r="B75" s="10"/>
      <c r="C75" s="18"/>
      <c r="D75" s="18"/>
      <c r="E75" s="10"/>
      <c r="F75" s="10"/>
      <c r="G75" s="10"/>
    </row>
    <row r="76" spans="1:7">
      <c r="A76" s="10"/>
      <c r="B76" s="10"/>
      <c r="C76" s="18"/>
      <c r="D76" s="18"/>
      <c r="E76" s="10"/>
      <c r="F76" s="10"/>
      <c r="G76" s="10"/>
    </row>
    <row r="77" spans="1:7">
      <c r="A77" s="10"/>
      <c r="B77" s="10"/>
      <c r="C77" s="18"/>
      <c r="D77" s="18"/>
      <c r="E77" s="10"/>
      <c r="F77" s="10"/>
      <c r="G77" s="10"/>
    </row>
    <row r="78" spans="1:7">
      <c r="A78" s="10"/>
      <c r="B78" s="10"/>
      <c r="C78" s="18"/>
      <c r="D78" s="18"/>
      <c r="E78" s="10"/>
      <c r="F78" s="10"/>
      <c r="G78" s="10"/>
    </row>
    <row r="79" spans="1:7">
      <c r="A79" s="10"/>
      <c r="B79" s="10"/>
      <c r="C79" s="18"/>
      <c r="D79" s="18"/>
      <c r="E79" s="10"/>
      <c r="F79" s="10"/>
      <c r="G79" s="10"/>
    </row>
    <row r="80" spans="1:7">
      <c r="A80" s="10"/>
      <c r="B80" s="10"/>
      <c r="C80" s="18"/>
      <c r="D80" s="18"/>
      <c r="E80" s="10"/>
      <c r="F80" s="10"/>
      <c r="G80" s="10"/>
    </row>
  </sheetData>
  <mergeCells count="2">
    <mergeCell ref="A1:G1"/>
    <mergeCell ref="A2: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4"/>
  <sheetViews>
    <sheetView showGridLines="0" workbookViewId="0"/>
  </sheetViews>
  <sheetFormatPr baseColWidth="10" defaultColWidth="8.83203125" defaultRowHeight="14"/>
  <cols>
    <col min="1" max="1" width="42" customWidth="1"/>
    <col min="2" max="2" width="9" customWidth="1"/>
    <col min="3" max="4" width="15" customWidth="1"/>
    <col min="5" max="5" width="14" customWidth="1"/>
    <col min="6" max="6" width="62" customWidth="1"/>
    <col min="7" max="7" width="52" customWidth="1"/>
  </cols>
  <sheetData>
    <row r="1" spans="1:7">
      <c r="A1" s="29" t="s">
        <v>291</v>
      </c>
      <c r="B1" s="31"/>
      <c r="C1" s="31"/>
      <c r="D1" s="31"/>
      <c r="E1" s="30"/>
      <c r="F1" s="30"/>
      <c r="G1" s="5"/>
    </row>
    <row r="2" spans="1:7">
      <c r="A2" s="28" t="s">
        <v>292</v>
      </c>
      <c r="B2" s="30"/>
      <c r="C2" s="30"/>
      <c r="D2" s="30"/>
      <c r="E2" s="30"/>
      <c r="F2" s="30"/>
      <c r="G2" s="5"/>
    </row>
    <row r="3" spans="1:7">
      <c r="A3" s="10"/>
      <c r="B3" s="10"/>
      <c r="C3" s="10"/>
      <c r="D3" s="10"/>
      <c r="E3" s="10"/>
      <c r="F3" s="10"/>
      <c r="G3" s="5"/>
    </row>
    <row r="4" spans="1:7">
      <c r="A4" s="12" t="s">
        <v>293</v>
      </c>
      <c r="B4" s="12" t="s">
        <v>26</v>
      </c>
      <c r="C4" s="12" t="s">
        <v>27</v>
      </c>
      <c r="D4" s="12" t="s">
        <v>294</v>
      </c>
      <c r="E4" s="12" t="s">
        <v>295</v>
      </c>
      <c r="F4" s="12" t="s">
        <v>296</v>
      </c>
      <c r="G4" s="5"/>
    </row>
    <row r="5" spans="1:7">
      <c r="A5" s="6" t="s">
        <v>297</v>
      </c>
      <c r="B5" s="15">
        <f>'Balance Sheet'!C54-'Balance Sheet'!C118</f>
        <v>0</v>
      </c>
      <c r="C5" s="15">
        <f>'Balance Sheet'!D54-'Balance Sheet'!D118</f>
        <v>0</v>
      </c>
      <c r="D5" s="15">
        <v>0</v>
      </c>
      <c r="E5" s="15" t="str">
        <f t="shared" ref="E5:E14" si="0">IF(AND(ABS(B5)&lt;=D5,ABS(C5)&lt;=D5),"PASS","REVIEW")</f>
        <v>PASS</v>
      </c>
      <c r="F5" s="6" t="s">
        <v>298</v>
      </c>
      <c r="G5" s="5"/>
    </row>
    <row r="6" spans="1:7">
      <c r="A6" s="6" t="s">
        <v>299</v>
      </c>
      <c r="B6" s="15">
        <f>'Balance Sheet'!C94+'Balance Sheet'!C111+'Balance Sheet'!C114-'Balance Sheet'!C117</f>
        <v>0</v>
      </c>
      <c r="C6" s="15">
        <f>'Balance Sheet'!D94+'Balance Sheet'!D111+'Balance Sheet'!D114-'Balance Sheet'!D117</f>
        <v>0</v>
      </c>
      <c r="D6" s="15">
        <v>0</v>
      </c>
      <c r="E6" s="15" t="str">
        <f t="shared" si="0"/>
        <v>PASS</v>
      </c>
      <c r="F6" s="6" t="s">
        <v>300</v>
      </c>
      <c r="G6" s="5"/>
    </row>
    <row r="7" spans="1:7" ht="28">
      <c r="A7" s="6" t="s">
        <v>301</v>
      </c>
      <c r="B7" s="15">
        <f>0</f>
        <v>0</v>
      </c>
      <c r="C7" s="15">
        <f>0</f>
        <v>0</v>
      </c>
      <c r="D7" s="15">
        <v>0</v>
      </c>
      <c r="E7" s="15" t="str">
        <f t="shared" si="0"/>
        <v>PASS</v>
      </c>
      <c r="F7" s="6" t="s">
        <v>302</v>
      </c>
      <c r="G7" s="5"/>
    </row>
    <row r="8" spans="1:7">
      <c r="A8" s="6" t="s">
        <v>303</v>
      </c>
      <c r="B8" s="15">
        <f>'P&amp;L'!C50-'P&amp;L'!C51-'P&amp;L'!C52</f>
        <v>0</v>
      </c>
      <c r="C8" s="15">
        <f>'P&amp;L'!D50-'P&amp;L'!D51-'P&amp;L'!D52</f>
        <v>0</v>
      </c>
      <c r="D8" s="15">
        <v>0</v>
      </c>
      <c r="E8" s="15" t="str">
        <f t="shared" si="0"/>
        <v>PASS</v>
      </c>
      <c r="F8" s="6" t="s">
        <v>304</v>
      </c>
      <c r="G8" s="5"/>
    </row>
    <row r="9" spans="1:7" ht="28">
      <c r="A9" s="6" t="s">
        <v>305</v>
      </c>
      <c r="B9" s="15">
        <f>'Direct CF'!C20</f>
        <v>0</v>
      </c>
      <c r="C9" s="15">
        <f>'Direct CF'!D20</f>
        <v>0</v>
      </c>
      <c r="D9" s="15">
        <v>0</v>
      </c>
      <c r="E9" s="15" t="str">
        <f t="shared" si="0"/>
        <v>PASS</v>
      </c>
      <c r="F9" s="6" t="s">
        <v>306</v>
      </c>
      <c r="G9" s="5"/>
    </row>
    <row r="10" spans="1:7" ht="28">
      <c r="A10" s="6" t="s">
        <v>307</v>
      </c>
      <c r="B10" s="15">
        <f>'Indirect CF'!C27</f>
        <v>0</v>
      </c>
      <c r="C10" s="15">
        <f>'Indirect CF'!D27</f>
        <v>0</v>
      </c>
      <c r="D10" s="15">
        <v>0</v>
      </c>
      <c r="E10" s="15" t="str">
        <f t="shared" si="0"/>
        <v>PASS</v>
      </c>
      <c r="F10" s="6" t="s">
        <v>308</v>
      </c>
      <c r="G10" s="5"/>
    </row>
    <row r="11" spans="1:7" ht="28">
      <c r="A11" s="11" t="s">
        <v>309</v>
      </c>
      <c r="B11" s="25">
        <f>'Direct CF'!C15-'Direct CF'!C13-'Direct CF'!C14</f>
        <v>0</v>
      </c>
      <c r="C11" s="25">
        <f>'Direct CF'!D15-'Direct CF'!D13-'Direct CF'!D14</f>
        <v>0</v>
      </c>
      <c r="D11" s="25">
        <v>0</v>
      </c>
      <c r="E11" s="25" t="str">
        <f t="shared" si="0"/>
        <v>PASS</v>
      </c>
      <c r="F11" s="11" t="s">
        <v>310</v>
      </c>
      <c r="G11" s="5"/>
    </row>
    <row r="12" spans="1:7" ht="28">
      <c r="A12" s="11" t="s">
        <v>311</v>
      </c>
      <c r="B12" s="25">
        <f>'Indirect CF'!C23-'Indirect CF'!C21-'Indirect CF'!C22</f>
        <v>0</v>
      </c>
      <c r="C12" s="25">
        <f>'Indirect CF'!D23-'Indirect CF'!D21-'Indirect CF'!D22</f>
        <v>0</v>
      </c>
      <c r="D12" s="25">
        <v>0</v>
      </c>
      <c r="E12" s="25" t="str">
        <f t="shared" si="0"/>
        <v>PASS</v>
      </c>
      <c r="F12" s="11" t="s">
        <v>312</v>
      </c>
      <c r="G12" s="5"/>
    </row>
    <row r="13" spans="1:7">
      <c r="A13" s="6" t="s">
        <v>313</v>
      </c>
      <c r="B13" s="15">
        <v>0</v>
      </c>
      <c r="C13" s="15">
        <v>0</v>
      </c>
      <c r="D13" s="15">
        <v>0</v>
      </c>
      <c r="E13" s="15" t="str">
        <f t="shared" si="0"/>
        <v>PASS</v>
      </c>
      <c r="F13" s="6" t="s">
        <v>314</v>
      </c>
      <c r="G13" s="5"/>
    </row>
    <row r="14" spans="1:7">
      <c r="A14" s="6" t="s">
        <v>315</v>
      </c>
      <c r="B14" s="15">
        <v>1000</v>
      </c>
      <c r="C14" s="15">
        <v>1000</v>
      </c>
      <c r="D14" s="15">
        <v>1000</v>
      </c>
      <c r="E14" s="15" t="str">
        <f t="shared" si="0"/>
        <v>PASS</v>
      </c>
      <c r="F14" s="6" t="s">
        <v>316</v>
      </c>
      <c r="G14" s="5"/>
    </row>
  </sheetData>
  <mergeCells count="2">
    <mergeCell ref="A1:F1"/>
    <mergeCell ref="A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Prompt</vt:lpstr>
      <vt:lpstr>P&amp;L</vt:lpstr>
      <vt:lpstr>Balance Sheet</vt:lpstr>
      <vt:lpstr>Direct CF</vt:lpstr>
      <vt:lpstr>Indirect CF</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angeles barrios</cp:lastModifiedBy>
  <dcterms:created xsi:type="dcterms:W3CDTF">2026-07-22T22:18:21Z</dcterms:created>
  <dcterms:modified xsi:type="dcterms:W3CDTF">2026-07-22T22:18:21Z</dcterms:modified>
</cp:coreProperties>
</file>