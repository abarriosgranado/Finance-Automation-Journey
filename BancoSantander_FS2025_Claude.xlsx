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geles/Desktop/"/>
    </mc:Choice>
  </mc:AlternateContent>
  <xr:revisionPtr revIDLastSave="0" documentId="8_{AEB25C3D-9CDE-444E-92AC-50FAA0FCA508}" xr6:coauthVersionLast="47" xr6:coauthVersionMax="47" xr10:uidLastSave="{00000000-0000-0000-0000-000000000000}"/>
  <bookViews>
    <workbookView xWindow="0" yWindow="680" windowWidth="34200" windowHeight="19660" tabRatio="500" activeTab="4" xr2:uid="{00000000-000D-0000-FFFF-FFFF00000000}"/>
  </bookViews>
  <sheets>
    <sheet name="Cover &amp; Methodology" sheetId="1" r:id="rId1"/>
    <sheet name="P&amp;L" sheetId="2" r:id="rId2"/>
    <sheet name="Balance Sheet" sheetId="3" r:id="rId3"/>
    <sheet name="Equity Rollforward" sheetId="4" r:id="rId4"/>
    <sheet name="Indirect Cash Flow" sheetId="5" r:id="rId5"/>
    <sheet name="Direct Cash Flow" sheetId="6" r:id="rId6"/>
  </sheets>
  <definedNames>
    <definedName name="_xlnm.Print_Titles" localSheetId="2">'Balance Sheet'!$1:$6</definedName>
    <definedName name="_xlnm.Print_Titles" localSheetId="1">'P&amp;L'!$1:$6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6" i="6" l="1"/>
  <c r="B46" i="6"/>
  <c r="B38" i="6"/>
  <c r="B36" i="6"/>
  <c r="C35" i="6"/>
  <c r="B35" i="6"/>
  <c r="B33" i="6"/>
  <c r="C29" i="6"/>
  <c r="B29" i="6"/>
  <c r="B27"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C22" i="6" s="1"/>
  <c r="B7" i="6"/>
  <c r="B22" i="6" s="1"/>
  <c r="C59" i="5"/>
  <c r="B59" i="5"/>
  <c r="C56" i="5"/>
  <c r="C43" i="6" s="1"/>
  <c r="B56" i="5"/>
  <c r="B43" i="6" s="1"/>
  <c r="C51" i="5"/>
  <c r="C39" i="6" s="1"/>
  <c r="B51" i="5"/>
  <c r="B39" i="6" s="1"/>
  <c r="C50" i="5"/>
  <c r="C38" i="6" s="1"/>
  <c r="B50" i="5"/>
  <c r="C49" i="5"/>
  <c r="C37" i="6" s="1"/>
  <c r="B49" i="5"/>
  <c r="B37" i="6" s="1"/>
  <c r="C48" i="5"/>
  <c r="C36" i="6" s="1"/>
  <c r="B48" i="5"/>
  <c r="C47" i="5"/>
  <c r="B47" i="5"/>
  <c r="C46" i="5"/>
  <c r="C34" i="6" s="1"/>
  <c r="B46" i="5"/>
  <c r="B34" i="6" s="1"/>
  <c r="C45" i="5"/>
  <c r="C33" i="6" s="1"/>
  <c r="B45" i="5"/>
  <c r="C44" i="5"/>
  <c r="C32" i="6" s="1"/>
  <c r="B44" i="5"/>
  <c r="B32" i="6" s="1"/>
  <c r="C41" i="5"/>
  <c r="B41" i="5"/>
  <c r="C40" i="5"/>
  <c r="C28" i="6" s="1"/>
  <c r="B40" i="5"/>
  <c r="B28" i="6" s="1"/>
  <c r="C39" i="5"/>
  <c r="C42" i="5" s="1"/>
  <c r="B39" i="5"/>
  <c r="B42" i="5" s="1"/>
  <c r="C35" i="5"/>
  <c r="B35" i="5"/>
  <c r="C34" i="5"/>
  <c r="B34" i="5"/>
  <c r="C33" i="5"/>
  <c r="B33" i="5"/>
  <c r="C32" i="5"/>
  <c r="B32" i="5"/>
  <c r="C31" i="5"/>
  <c r="B31" i="5"/>
  <c r="C30" i="5"/>
  <c r="B30" i="5"/>
  <c r="C29" i="5"/>
  <c r="B29" i="5"/>
  <c r="C28" i="5"/>
  <c r="B28" i="5"/>
  <c r="C27" i="5"/>
  <c r="B27" i="5"/>
  <c r="C26" i="5"/>
  <c r="B26" i="5"/>
  <c r="C25" i="5"/>
  <c r="B25" i="5"/>
  <c r="C24" i="5"/>
  <c r="B24" i="5"/>
  <c r="C23" i="5"/>
  <c r="B23" i="5"/>
  <c r="C22" i="5"/>
  <c r="B22" i="5"/>
  <c r="C21" i="5"/>
  <c r="B21" i="5"/>
  <c r="C20" i="5"/>
  <c r="B20" i="5"/>
  <c r="C19" i="5"/>
  <c r="B19" i="5"/>
  <c r="C18" i="5"/>
  <c r="B18" i="5"/>
  <c r="C17" i="5"/>
  <c r="C36" i="5" s="1"/>
  <c r="C23" i="6" s="1"/>
  <c r="B17" i="5"/>
  <c r="B36" i="5" s="1"/>
  <c r="B23" i="6" s="1"/>
  <c r="C14" i="5"/>
  <c r="B14" i="5"/>
  <c r="C13" i="5"/>
  <c r="B13" i="5"/>
  <c r="C12" i="5"/>
  <c r="B12" i="5"/>
  <c r="C11" i="5"/>
  <c r="B11" i="5"/>
  <c r="C10" i="5"/>
  <c r="B10" i="5"/>
  <c r="C9" i="5"/>
  <c r="B9" i="5"/>
  <c r="C7" i="5"/>
  <c r="C15" i="5" s="1"/>
  <c r="C37" i="5" s="1"/>
  <c r="B7" i="5"/>
  <c r="B15" i="5" s="1"/>
  <c r="B37" i="5" s="1"/>
  <c r="O45" i="4"/>
  <c r="N45" i="4"/>
  <c r="M45" i="4"/>
  <c r="L45" i="4"/>
  <c r="G45" i="4"/>
  <c r="E45" i="4"/>
  <c r="D45" i="4"/>
  <c r="C45" i="4"/>
  <c r="B45" i="4"/>
  <c r="O44" i="4"/>
  <c r="N44" i="4"/>
  <c r="M44" i="4"/>
  <c r="L44" i="4"/>
  <c r="K44" i="4"/>
  <c r="K45" i="4" s="1"/>
  <c r="J44" i="4"/>
  <c r="J45" i="4" s="1"/>
  <c r="I44" i="4"/>
  <c r="I45" i="4" s="1"/>
  <c r="H44" i="4"/>
  <c r="H45" i="4" s="1"/>
  <c r="G44" i="4"/>
  <c r="F44" i="4"/>
  <c r="F45" i="4" s="1"/>
  <c r="E44" i="4"/>
  <c r="D44" i="4"/>
  <c r="C44" i="4"/>
  <c r="B44" i="4"/>
  <c r="O42" i="4"/>
  <c r="M42" i="4"/>
  <c r="L42" i="4"/>
  <c r="K42" i="4"/>
  <c r="J42" i="4"/>
  <c r="E42" i="4"/>
  <c r="C42" i="4"/>
  <c r="B42" i="4"/>
  <c r="O41" i="4"/>
  <c r="N41" i="4"/>
  <c r="N42" i="4" s="1"/>
  <c r="M41" i="4"/>
  <c r="L41" i="4"/>
  <c r="K41" i="4"/>
  <c r="J41" i="4"/>
  <c r="I41" i="4"/>
  <c r="I42" i="4" s="1"/>
  <c r="H41" i="4"/>
  <c r="H42" i="4" s="1"/>
  <c r="G41" i="4"/>
  <c r="G42" i="4" s="1"/>
  <c r="F41" i="4"/>
  <c r="F42" i="4" s="1"/>
  <c r="E41" i="4"/>
  <c r="D41" i="4"/>
  <c r="D42" i="4" s="1"/>
  <c r="C41" i="4"/>
  <c r="B41" i="4"/>
  <c r="E133" i="3"/>
  <c r="E135" i="3" s="1"/>
  <c r="D133" i="3"/>
  <c r="D135" i="3" s="1"/>
  <c r="C133" i="3"/>
  <c r="C135" i="3" s="1"/>
  <c r="E109" i="3"/>
  <c r="E111" i="3" s="1"/>
  <c r="D109" i="3"/>
  <c r="D111" i="3" s="1"/>
  <c r="C109" i="3"/>
  <c r="C111" i="3" s="1"/>
  <c r="E65" i="3"/>
  <c r="E67" i="3" s="1"/>
  <c r="D65" i="3"/>
  <c r="D67" i="3" s="1"/>
  <c r="C65" i="3"/>
  <c r="C67" i="3" s="1"/>
  <c r="B40" i="6" l="1"/>
  <c r="B24" i="6"/>
  <c r="B30" i="6"/>
  <c r="C40" i="6"/>
  <c r="C24" i="6"/>
  <c r="C55" i="5"/>
  <c r="B55" i="5"/>
  <c r="C27" i="6"/>
  <c r="C30" i="6" s="1"/>
  <c r="C137" i="3"/>
  <c r="C138" i="3" s="1"/>
  <c r="B57" i="5"/>
  <c r="D137" i="3"/>
  <c r="D138" i="3" s="1"/>
  <c r="E137" i="3"/>
  <c r="E138" i="3" s="1"/>
  <c r="B53" i="5"/>
  <c r="C53" i="5"/>
  <c r="B58" i="5" l="1"/>
  <c r="B60" i="5" s="1"/>
  <c r="B61" i="5" s="1"/>
  <c r="C57" i="5"/>
  <c r="C58" i="5" s="1"/>
  <c r="C60" i="5" s="1"/>
  <c r="C61" i="5" s="1"/>
  <c r="C25" i="6"/>
  <c r="C42" i="6"/>
  <c r="B25" i="6"/>
  <c r="B42" i="6"/>
  <c r="B44" i="6" l="1"/>
  <c r="B45" i="6" s="1"/>
  <c r="B47" i="6" s="1"/>
  <c r="B48" i="6" s="1"/>
  <c r="C44" i="6"/>
  <c r="C45" i="6" s="1"/>
  <c r="C47" i="6" s="1"/>
  <c r="C48" i="6" s="1"/>
</calcChain>
</file>

<file path=xl/sharedStrings.xml><?xml version="1.0" encoding="utf-8"?>
<sst xmlns="http://schemas.openxmlformats.org/spreadsheetml/2006/main" count="744" uniqueCount="381">
  <si>
    <t>Banco Santander, S.A. and Subsidiaries — Consolidated FP&amp;A Workbook</t>
  </si>
  <si>
    <t>Income statement, balance sheet, equity roll-forward and reconstructed (direct &amp; indirect) cash flow — FY2025 vs FY2024 (FY2023 shown as comparative on the balance sheet)</t>
  </si>
  <si>
    <t>1. Source document and language</t>
  </si>
  <si>
    <t>All figures in this workbook are transcribed from Banco Santander, S.A.'s Spanish-language 2025 Annual Report ("Informe anual 2025"), consolidated financial statements section ("Estados financieros consolidados"), covering the balances at 31 December 2025, 2024 and 2023 and the income statement, statement of recognised income and expense, and statement of total changes in equity for the years then ended. No English-language version of the financial statements was available at the time this workbook was prepared; all line-item labels have been translated from Spanish to English by the workbook's author. The underlying figures have not been altered in any way — only translated in label and re-expressed in units (see note 2).</t>
  </si>
  <si>
    <t>2024 and 2023 balance sheet figures are labelled "A" in the source report, meaning they are presented solely for comparative purposes (see source note 1.d) and may reflect re-presentation versus how they were originally reported in the FY2024 and FY2023 annual reports.</t>
  </si>
  <si>
    <t>2. Units and rounding</t>
  </si>
  <si>
    <t>The source financial statements are reported in EUR MILLIONS, rounded to the nearest million. This workbook re-expresses every figure in EUR THOUSANDS by multiplying the reported million figure by 1,000 (e.g. EUR 152,281 million becomes EUR 152,281,000 thousand). This is a pure unit conversion, not a change in precision: because the source itself is only precise to the nearest EUR million, every thousands-figure in this workbook necessarily ends in '000'. No additional decimal precision is implied or has been invented.</t>
  </si>
  <si>
    <t>All amounts are shown with zero decimal places. Negative amounts are shown in parentheses.</t>
  </si>
  <si>
    <t>3. What is hardcoded vs. calculated</t>
  </si>
  <si>
    <t>Blue font = figures transcribed directly from the source financial statements (hardcoded inputs, with a page citation in the Source column of each tab). Black font = formulas that sum or subtotal the blue inputs on the same tab. Green font = formulas that link to a figure on another tab. Nothing in this workbook is a plug, a forced balancing entry, or an estimate not traceable to a disclosed source figure, with the single, clearly-labelled exception described in note 5 below.</t>
  </si>
  <si>
    <t>4. Equity detail — retained earnings vs. net income</t>
  </si>
  <si>
    <t>Per your request, retained earnings ("Ganancias acumuladas") are shown as a separate line from net income attributable to the parent ("Resultado atribuible a los propietarios de la dominante") on both the Balance Sheet tab and the Equity Rollforward tab, exactly as the source statements present them — these have never been the same line in Banco Santander's own statements, so no adjustment was needed to achieve this separation.</t>
  </si>
  <si>
    <t>5. Why the cash flow statements are reconstructed, not copied — and why one residual line remains</t>
  </si>
  <si>
    <t>Per your instruction, the published consolidated cash flow statement was NOT used as a source. Instead, both the Indirect Cash Flow and Direct Cash Flow tabs are built entirely from formulas referencing the P&amp;L, Balance Sheet and Equity Rollforward tabs of this workbook — i.e., from the movement in balance sheet line items between period-ends, and from income-statement accrual figures used as cash-flow proxies where a genuine cash-paid/cash-received figure is not separately disclosed on the face of the primary statements (e.g. interest received/paid, tax paid, cash paid to employees and suppliers).</t>
  </si>
  <si>
    <t>A balance sheet built this way cannot, by construction, isolate every non-cash movement between two balance sheet dates, because several effects are commingled into the same reported balances without being separately broken out on the face of the statements: (i) the EUR 71,009m increase in 'non-current assets and disposal groups classified as held for sale' in 2025 (and the matching EUR 62,995m of associated liabilities) is a RECLASSIFICATION within the balance sheet, not a cash movement, but this workbook has no way to separately identify how much of the underlying assets' movement was reclassification versus organic change; (ii) Banco Santander translates a large multi-currency balance sheet (USD, GBP, BRL, MXN, PLN and other exposures) into EUR at each closing rate, so period-end balance sheet movements include foreign exchange translation effects that are not separable from 'real' business activity without the segment-level FX-neutral disclosures in the notes; (iii) the Group's Argentine operations are restated for hyperinflation under IAS 29, which affects balance sheet and equity balances outside of any cash transaction; and (iv) fair value re-measurements taken directly to other comprehensive income, and equity transactions with non-controlling interests, also move balance sheet and equity balances without a corresponding cash flow.</t>
  </si>
  <si>
    <t>None of these four effects is separately quantified on the face of the balance sheet, income statement or statement of changes in equity, so allocating the resulting gap across them would require assumptions not supported by disclosed data — exactly the kind of invented, unsupported adjustment you asked this workbook to avoid. Rather than force a fit, both the Indirect Cash Flow and Direct Cash Flow tabs isolate the entire residual in a single, clearly labelled, red-highlighted 'Unreconciled balance (bridge to reported cash movement)' line, computed by formula as: reported change in cash per the Balance Sheet, LESS the net cash flow from operating, investing and financing activities as reconstructed in this workbook. Cash and cash equivalents at the end of the year are then built as opening cash plus the reconstructed net cash flow plus this bridge line — so the closing cash balance in both cash flow tabs ties exactly, by formula, to the Balance Sheet, in both the direct and the indirect statement. The bridge line is the single number in this workbook that is not independently sourced; everything feeding into it is.</t>
  </si>
  <si>
    <t>6. Operating / investing / financing classification logic</t>
  </si>
  <si>
    <t>Balance sheet movements in customer and interbank loans, deposits, trading books, hedging derivatives, insurance assets/liabilities, provisions, tax balances and other operating assets/liabilities are classified as OPERATING, consistent with how a bank's core intermediation business is normally presented under IAS 7. Movements in tangible and intangible fixed assets (combined, net of depreciation, amortisation and impairment) and in investments in joint ventures/associates are classified as INVESTING. Movements in debt securities issued (wholesale funding) and owner transactions taken from the Equity Rollforward tab (capital reductions, dividends, treasury share purchases/sales, capital instrument redemptions and similar) are classified as FINANCING. Non-current assets and disposal groups held for sale, and their associated liabilities, are classified as INVESTING, consistent with their nature as pending business disposals; this is also the single largest driver of the unreconciled balance discussed in note 5.</t>
  </si>
  <si>
    <t>Depreciation, amortisation, impairment of financial assets, impairment of non-financial assets and net provision charges are NOT separately added back as 'non-cash adjustments' in the operating section where doing so would double-count an effect already captured by the corresponding balance sheet movement. Depreciation/amortisation and non-financial-asset impairment ARE added back where they relate to fixed assets reported in the investing section, so that the investing-section capex/disposal proxy is built on a consistent basis. This logic is documented again, line by line, on the Indirect Cash Flow tab.</t>
  </si>
  <si>
    <t>7. How to audit this workbook</t>
  </si>
  <si>
    <t>Every figure with blue font can be traced to the Source column citation on its row. Every subtotal and total is a SUM formula over the rows above it — recompute by expanding the formula bar. Every cash-flow line on the Direct Cash Flow tab that should equal its Indirect Cash Flow counterpart is linked by formula, not retyped, so the two tabs cannot silently drift apart. The final reconciliation section on each cash flow tab shows opening cash, the reconstructed net movement, the unreconciled bridge, and closing cash — the closing cash row should always equal, and does equal by construction, the cash balance reported on the Balance Sheet tab for the same year.</t>
  </si>
  <si>
    <t>Banco Santander — Consolidated Income Statement</t>
  </si>
  <si>
    <t>Years ended 31 December 2025, 2024 and 2023</t>
  </si>
  <si>
    <t>Figures in EUR thousands, unless otherwise stated. No decimals shown.</t>
  </si>
  <si>
    <t>Line item</t>
  </si>
  <si>
    <t>Note</t>
  </si>
  <si>
    <t>FY2025</t>
  </si>
  <si>
    <t>FY2024</t>
  </si>
  <si>
    <t>FY2023</t>
  </si>
  <si>
    <t>Source / notes</t>
  </si>
  <si>
    <t>Interest income</t>
  </si>
  <si>
    <t>38</t>
  </si>
  <si>
    <t>Source: Banco Santander, Informe anual 2025, Cuentas de perdidas y ganancias consolidadas, p.653-654 (ES); EUR mn x1,000</t>
  </si>
  <si>
    <t>Financial assets at fair value through other comprehensive income</t>
  </si>
  <si>
    <t>Financial assets at amortised cost</t>
  </si>
  <si>
    <t>Other interest income</t>
  </si>
  <si>
    <t>Interest expense</t>
  </si>
  <si>
    <t>39</t>
  </si>
  <si>
    <t>Net interest income</t>
  </si>
  <si>
    <t>Dividend income</t>
  </si>
  <si>
    <t>40</t>
  </si>
  <si>
    <t>Share of results of entities accounted for using the equity method</t>
  </si>
  <si>
    <t>13</t>
  </si>
  <si>
    <t>Fee and commission income</t>
  </si>
  <si>
    <t>41</t>
  </si>
  <si>
    <t>Fee and commission expense</t>
  </si>
  <si>
    <t>42</t>
  </si>
  <si>
    <t>Gains/(losses) on derecognition of financial assets/liabilities not at FVTPL, net</t>
  </si>
  <si>
    <t>43</t>
  </si>
  <si>
    <t>Other financial assets and liabilities</t>
  </si>
  <si>
    <t>Gains/(losses) on financial assets/liabilities held for trading, net</t>
  </si>
  <si>
    <t>Gains/(losses) on non-trading financial assets mandatorily at FVTPL, net</t>
  </si>
  <si>
    <t>Gains/(losses) on financial assets/liabilities designated at FVTPL, net</t>
  </si>
  <si>
    <t>Gains/(losses) from hedge accounting, net</t>
  </si>
  <si>
    <t>Exchange differences, net</t>
  </si>
  <si>
    <t>44</t>
  </si>
  <si>
    <t>Other operating income</t>
  </si>
  <si>
    <t>45</t>
  </si>
  <si>
    <t>Other operating expenses</t>
  </si>
  <si>
    <t>Income from insurance or reinsurance contracts</t>
  </si>
  <si>
    <t>Expenses from insurance or reinsurance contracts</t>
  </si>
  <si>
    <t>Gross income</t>
  </si>
  <si>
    <t>Administrative expenses</t>
  </si>
  <si>
    <t>Staff costs</t>
  </si>
  <si>
    <t>46</t>
  </si>
  <si>
    <t>Other administrative expenses</t>
  </si>
  <si>
    <t>47</t>
  </si>
  <si>
    <t>Depreciation and amortisation</t>
  </si>
  <si>
    <t>16, 18</t>
  </si>
  <si>
    <t>Provisions or reversal of provisions, net</t>
  </si>
  <si>
    <t>25</t>
  </si>
  <si>
    <t>Impairment of financial assets not at FVTPL and net gains/(losses) on modification</t>
  </si>
  <si>
    <t>10</t>
  </si>
  <si>
    <t>Impairment/(reversal) of investments in joint ventures or associates</t>
  </si>
  <si>
    <t>13, 18</t>
  </si>
  <si>
    <t>Impairment/(reversal) of non-financial assets</t>
  </si>
  <si>
    <t>Tangible assets</t>
  </si>
  <si>
    <t>16</t>
  </si>
  <si>
    <t>Intangible assets</t>
  </si>
  <si>
    <t>17, 18</t>
  </si>
  <si>
    <t>Other</t>
  </si>
  <si>
    <t>Gains/(losses) on derecognition of non-financial assets, net</t>
  </si>
  <si>
    <t>48</t>
  </si>
  <si>
    <t>Negative goodwill recognised in profit or loss</t>
  </si>
  <si>
    <t>Gains/(losses) from non-current assets held for sale not classified as discontinued operations</t>
  </si>
  <si>
    <t>49</t>
  </si>
  <si>
    <t>Profit before tax from continuing operations</t>
  </si>
  <si>
    <t>Tax expense on profit from continuing operations</t>
  </si>
  <si>
    <t>27</t>
  </si>
  <si>
    <t>Profit after tax from continuing operations</t>
  </si>
  <si>
    <t>Profit after tax from discontinued operations</t>
  </si>
  <si>
    <t>37</t>
  </si>
  <si>
    <t>Profit for the year (consolidated)</t>
  </si>
  <si>
    <t>Attributable to non-controlling interests</t>
  </si>
  <si>
    <t>28</t>
  </si>
  <si>
    <t>Attributable to owners of the parent (net income)</t>
  </si>
  <si>
    <t>MEMO: EARNINGS PER SHARE (EUR, not thousands)</t>
  </si>
  <si>
    <t>Basic earnings per share (EUR)</t>
  </si>
  <si>
    <t>4</t>
  </si>
  <si>
    <t>Diluted earnings per share (EUR)</t>
  </si>
  <si>
    <t>Banco Santander — Consolidated Balance Sheet</t>
  </si>
  <si>
    <t>As at 31 December 2025, 2024 and 2023</t>
  </si>
  <si>
    <t>ASSETS</t>
  </si>
  <si>
    <t>Cash, cash balances at central banks and other demand deposits</t>
  </si>
  <si>
    <t>Source: Banco Santander, Informe anual 2025, Balances consolidados, p.649-650 (ES); EUR mn x1,000</t>
  </si>
  <si>
    <t>Financial assets held for trading</t>
  </si>
  <si>
    <t>Derivatives</t>
  </si>
  <si>
    <t>9, 11</t>
  </si>
  <si>
    <t>Equity instruments</t>
  </si>
  <si>
    <t>8</t>
  </si>
  <si>
    <t>Debt securities</t>
  </si>
  <si>
    <t>7</t>
  </si>
  <si>
    <t>Loans and advances</t>
  </si>
  <si>
    <t>Central banks</t>
  </si>
  <si>
    <t>6</t>
  </si>
  <si>
    <t>Credit institutions</t>
  </si>
  <si>
    <t>Customers</t>
  </si>
  <si>
    <t>Non-trading financial assets mandatorily at fair value through profit or loss</t>
  </si>
  <si>
    <t>Financial assets designated at fair value through profit or loss</t>
  </si>
  <si>
    <t>Hedging derivatives</t>
  </si>
  <si>
    <t>36</t>
  </si>
  <si>
    <t>Fair value changes of hedged items in portfolio hedge of interest rate risk</t>
  </si>
  <si>
    <t>54</t>
  </si>
  <si>
    <t>Investments in joint ventures and associates</t>
  </si>
  <si>
    <t>Joint ventures</t>
  </si>
  <si>
    <t>Associates</t>
  </si>
  <si>
    <t>Assets under reinsurance contracts</t>
  </si>
  <si>
    <t>Property, plant and equipment</t>
  </si>
  <si>
    <t>For own use</t>
  </si>
  <si>
    <t>Leased out under operating lease</t>
  </si>
  <si>
    <t>Investment property</t>
  </si>
  <si>
    <t>Of which: leased out under operating lease</t>
  </si>
  <si>
    <t>Goodwill</t>
  </si>
  <si>
    <t>17</t>
  </si>
  <si>
    <t>Other intangible assets</t>
  </si>
  <si>
    <t>18</t>
  </si>
  <si>
    <t>Tax assets</t>
  </si>
  <si>
    <t>Current tax assets</t>
  </si>
  <si>
    <t>Deferred tax assets</t>
  </si>
  <si>
    <t>Other assets</t>
  </si>
  <si>
    <t>Insurance contracts linked to pensions</t>
  </si>
  <si>
    <t>14</t>
  </si>
  <si>
    <t>Inventories</t>
  </si>
  <si>
    <t>Rest of other assets</t>
  </si>
  <si>
    <t>19</t>
  </si>
  <si>
    <t>Non-current assets and disposal groups classified as held for sale</t>
  </si>
  <si>
    <t>12</t>
  </si>
  <si>
    <t>TOTAL ASSETS</t>
  </si>
  <si>
    <t>Note: SUM of top-level asset captions above (formula check)</t>
  </si>
  <si>
    <t>Per source financial statements (audit check)</t>
  </si>
  <si>
    <t>Variance (computed total vs. source-reported total)</t>
  </si>
  <si>
    <t>LIABILITIES</t>
  </si>
  <si>
    <t>Financial liabilities held for trading</t>
  </si>
  <si>
    <t>Source: Banco Santander, Informe anual 2025, Balances consolidados, p.651 (ES); EUR mn x1,000</t>
  </si>
  <si>
    <t>Short positions</t>
  </si>
  <si>
    <t>9</t>
  </si>
  <si>
    <t>Deposits</t>
  </si>
  <si>
    <t>20</t>
  </si>
  <si>
    <t>21</t>
  </si>
  <si>
    <t>Debt securities issued</t>
  </si>
  <si>
    <t>22</t>
  </si>
  <si>
    <t>Other financial liabilities</t>
  </si>
  <si>
    <t>24</t>
  </si>
  <si>
    <t>Financial liabilities designated at fair value through profit or loss</t>
  </si>
  <si>
    <t>Memo: subordinated liabilities (included above)</t>
  </si>
  <si>
    <t>23</t>
  </si>
  <si>
    <t>Financial liabilities at amortised cost</t>
  </si>
  <si>
    <t>Liabilities under insurance contracts</t>
  </si>
  <si>
    <t>15</t>
  </si>
  <si>
    <t>Provisions</t>
  </si>
  <si>
    <t>Pensions and other post-employment defined benefit obligations</t>
  </si>
  <si>
    <t>Other long-term employee benefit obligations</t>
  </si>
  <si>
    <t>Taxes and other legal contingencies</t>
  </si>
  <si>
    <t>Commitments and guarantees given</t>
  </si>
  <si>
    <t>Other provisions</t>
  </si>
  <si>
    <t>Tax liabilities</t>
  </si>
  <si>
    <t>Current tax liabilities</t>
  </si>
  <si>
    <t>Deferred tax liabilities</t>
  </si>
  <si>
    <t>Other liabilities</t>
  </si>
  <si>
    <t>26</t>
  </si>
  <si>
    <t>Liabilities included in disposal groups classified as held for sale</t>
  </si>
  <si>
    <t>TOTAL LIABILITIES</t>
  </si>
  <si>
    <t>Note: SUM of top-level liability captions above (formula check)</t>
  </si>
  <si>
    <t>EQUITY  (retained earnings shown separately from net income)</t>
  </si>
  <si>
    <t>Shareholders' equity</t>
  </si>
  <si>
    <t>30</t>
  </si>
  <si>
    <t>Source: Banco Santander, Informe anual 2025, Balances consolidados, p.652 (ES); EUR mn x1,000</t>
  </si>
  <si>
    <t>Capital</t>
  </si>
  <si>
    <t>31</t>
  </si>
  <si>
    <t>Paid-up capital</t>
  </si>
  <si>
    <t>Unpaid capital called</t>
  </si>
  <si>
    <t>Share premium</t>
  </si>
  <si>
    <t>32</t>
  </si>
  <si>
    <t>Equity instruments issued other than capital</t>
  </si>
  <si>
    <t>34</t>
  </si>
  <si>
    <t>Other equity items</t>
  </si>
  <si>
    <t>Retained earnings</t>
  </si>
  <si>
    <t>33</t>
  </si>
  <si>
    <t>Revaluation reserves</t>
  </si>
  <si>
    <t>Other reserves</t>
  </si>
  <si>
    <t>(-) Treasury shares</t>
  </si>
  <si>
    <t>Profit attributable to owners of the parent (net income)</t>
  </si>
  <si>
    <t>(-) Interim dividends</t>
  </si>
  <si>
    <t>Accumulated other comprehensive income</t>
  </si>
  <si>
    <t>29</t>
  </si>
  <si>
    <t>Items not to be reclassified to profit or loss</t>
  </si>
  <si>
    <t>Items that may be reclassified to profit or loss</t>
  </si>
  <si>
    <t>Non-controlling interests</t>
  </si>
  <si>
    <t>Accumulated other comprehensive income (NCI)</t>
  </si>
  <si>
    <t>Other items (NCI)</t>
  </si>
  <si>
    <t>TOTAL EQUITY</t>
  </si>
  <si>
    <t>Note: SUM of top-level equity captions above (formula check)</t>
  </si>
  <si>
    <t>TOTAL LIABILITIES AND EQUITY</t>
  </si>
  <si>
    <t>Balance check: Total assets − Total liabilities and equity</t>
  </si>
  <si>
    <t>Banco Santander — Statement of Total Changes in Consolidated Equity</t>
  </si>
  <si>
    <t>Detail roll-forward FY2025 and FY2024 — retained earnings tracked separately from net income attributable to the parent (see columns E and I)</t>
  </si>
  <si>
    <t>Movement</t>
  </si>
  <si>
    <t>Other equity instruments</t>
  </si>
  <si>
    <t>Treasury shares</t>
  </si>
  <si>
    <t>Profit attrib. to parent</t>
  </si>
  <si>
    <t>Interim dividends</t>
  </si>
  <si>
    <t>Accum. OCI (parent)</t>
  </si>
  <si>
    <t>NCI - Accum. OCI</t>
  </si>
  <si>
    <t>NCI - Other items</t>
  </si>
  <si>
    <t>FY2025 MOVEMENT IN EQUITY</t>
  </si>
  <si>
    <t>Closing balance at 31 December 2024</t>
  </si>
  <si>
    <t>Effects of correction of errors</t>
  </si>
  <si>
    <t>Effects of changes in accounting policies</t>
  </si>
  <si>
    <t>Opening balance at 1 January 2025</t>
  </si>
  <si>
    <t>Total comprehensive income for the year</t>
  </si>
  <si>
    <t>Capital reduction</t>
  </si>
  <si>
    <t>Dividends (shareholder remuneration)</t>
  </si>
  <si>
    <t>Purchase of treasury shares</t>
  </si>
  <si>
    <t>Sale/cancellation of treasury shares</t>
  </si>
  <si>
    <t>Transfers between components of equity</t>
  </si>
  <si>
    <t>Business combinations, net</t>
  </si>
  <si>
    <t>Share-based payments</t>
  </si>
  <si>
    <t>Other increases/(decreases) in equity</t>
  </si>
  <si>
    <t>Closing balance at 31 December 2025</t>
  </si>
  <si>
    <t>Source: Banco Santander, Informe anual 2025, Estados totales de cambios en el patrimonio neto consolidados, p.656-661 (ES); EUR mn x1,000</t>
  </si>
  <si>
    <t>FY2024 MOVEMENT IN EQUITY</t>
  </si>
  <si>
    <t>Closing balance at 31 December 2023</t>
  </si>
  <si>
    <t>Opening balance at 1 January 2024</t>
  </si>
  <si>
    <t>Exercise/maturity of other equity instruments issued</t>
  </si>
  <si>
    <t>FY2025 check: Opening balance + all movements (computed)</t>
  </si>
  <si>
    <t>FY2025 check: vs. reported closing balance (variance)</t>
  </si>
  <si>
    <t>FY2024 check: Opening balance + all movements (computed)</t>
  </si>
  <si>
    <t>FY2024 check: vs. reported closing balance (variance)</t>
  </si>
  <si>
    <t>Banco Santander — Indirect Consolidated Cash Flow Statement (reconstructed)</t>
  </si>
  <si>
    <t>Years ended 31 December 2025 and 2024 — built entirely from P&amp;L, Balance Sheet and Equity Rollforward formulas; the published cash flow statement was NOT used as a source (see Cover &amp; Methodology, notes 5 and 6)</t>
  </si>
  <si>
    <t>Methodology / source</t>
  </si>
  <si>
    <t>OPERATING ACTIVITIES</t>
  </si>
  <si>
    <t>Profit for the year (consolidated, before split between parent and non-controlling interests)</t>
  </si>
  <si>
    <t>Linked from P&amp;L tab. This is the IAS 7 indirect-method starting point.</t>
  </si>
  <si>
    <t>Adjustments for non-cash items classified as investing (avoids double-counting vs. the working-capital section below — see Cover &amp; Methodology, note 6)</t>
  </si>
  <si>
    <t>Add back: Depreciation and amortisation</t>
  </si>
  <si>
    <t>Reverses the non-cash P&amp;L charge; the real cash effect is rebuilt in the investing section as part of the fixed-asset capex/disposal proxy.</t>
  </si>
  <si>
    <t>Add back: Impairment of non-financial assets</t>
  </si>
  <si>
    <t>Reverses the non-cash P&amp;L charge; rebuilt in the investing fixed-asset proxy.</t>
  </si>
  <si>
    <t>Less: Share of results of entities under the equity method</t>
  </si>
  <si>
    <t>Non-cash income from associates/JVs; the cash proxy (income less net movement in the investment) is rebuilt in the investing section.</t>
  </si>
  <si>
    <t>Less: Gains on derecognition of non-financial assets, net</t>
  </si>
  <si>
    <t>Relates to disposals of tangible/intangible assets; rebuilt in the investing fixed-asset proxy.</t>
  </si>
  <si>
    <t>Less: Negative goodwill recognised in profit or loss</t>
  </si>
  <si>
    <t>Relates to business combinations; not a cash item.</t>
  </si>
  <si>
    <t>Less: Gains/(losses) from non-current assets held for sale not classified as discontinued operations</t>
  </si>
  <si>
    <t>Relates to the disposal-group reclassification; rebuilt in the investing section. See note 5 on the Cover &amp; Methodology tab.</t>
  </si>
  <si>
    <t>Cash flow from operations before changes in operating assets and liabilities</t>
  </si>
  <si>
    <t>Subtotal: profit for the year plus/less the non-cash items above.</t>
  </si>
  <si>
    <t>Changes in operating assets and liabilities, net (period-over-period Balance Sheet movement; increase in an asset uses cash, increase in a liability is a source of cash)</t>
  </si>
  <si>
    <t>(Increase)/decrease in financial assets held for trading</t>
  </si>
  <si>
    <t>Balance Sheet movement, trading book.</t>
  </si>
  <si>
    <t>(Increase)/decrease in non-trading financial assets mandatorily at FVTPL</t>
  </si>
  <si>
    <t>Balance Sheet movement.</t>
  </si>
  <si>
    <t>(Increase)/decrease in financial assets designated at FVTPL</t>
  </si>
  <si>
    <t>(Increase)/decrease in financial assets at fair value through OCI</t>
  </si>
  <si>
    <t>(Increase)/decrease in financial assets at amortised cost (loans and advances to banks/customers, debt securities)</t>
  </si>
  <si>
    <t>Balance Sheet movement, net of impairment already embedded in the carrying amount (no separate impairment add-back — see note 6).</t>
  </si>
  <si>
    <t>(Increase)/decrease in hedging derivatives (asset)</t>
  </si>
  <si>
    <t>(Increase)/decrease in fair value changes of hedged items (asset)</t>
  </si>
  <si>
    <t>(Increase)/decrease in assets under reinsurance contracts</t>
  </si>
  <si>
    <t>(Increase)/decrease in other assets</t>
  </si>
  <si>
    <t>(Increase)/decrease in tax assets</t>
  </si>
  <si>
    <t>Balance Sheet movement, current and deferred combined.</t>
  </si>
  <si>
    <t>Increase/(decrease) in financial liabilities held for trading</t>
  </si>
  <si>
    <t>Increase/(decrease) in financial liabilities designated at FVTPL, deposits and other (excl. debt securities issued, classified as financing)</t>
  </si>
  <si>
    <t>Category total less its 'Debt securities issued' component, which is classified as financing below.</t>
  </si>
  <si>
    <t>Increase/(decrease) in financial liabilities at amortised cost, deposits and other (excl. debt securities issued, classified as financing)</t>
  </si>
  <si>
    <t>Category total less its 'Debt securities issued' component (customer/interbank deposits are the dominant driver here).</t>
  </si>
  <si>
    <t>Increase/(decrease) in hedging derivatives (liability)</t>
  </si>
  <si>
    <t>Increase/(decrease) in fair value changes of hedged items (liability)</t>
  </si>
  <si>
    <t>Increase/(decrease) in liabilities under insurance contracts</t>
  </si>
  <si>
    <t>Increase/(decrease) in provisions</t>
  </si>
  <si>
    <t>Balance Sheet movement, net of the P&amp;L provision charge already embedded in the closing balance (no separate provision-charge add-back — see note 6).</t>
  </si>
  <si>
    <t>Increase/(decrease) in tax liabilities</t>
  </si>
  <si>
    <t>Increase/(decrease) in other liabilities</t>
  </si>
  <si>
    <t>Total changes in operating assets and liabilities, net</t>
  </si>
  <si>
    <t>Subtotal of the working-capital movements above.</t>
  </si>
  <si>
    <t>NET CASH FLOW FROM OPERATING ACTIVITIES</t>
  </si>
  <si>
    <t>Formula: Cash flow before working-capital changes, plus total working-capital changes.</t>
  </si>
  <si>
    <t>INVESTING ACTIVITIES</t>
  </si>
  <si>
    <t>Net cash flow relating to investments in joint ventures and associates</t>
  </si>
  <si>
    <t>Proxy for dividends received less net new investment = equity-method income for the year less the net movement in the investment's carrying value (BS). Assumes no unseparated FX/impairment noise in this specific line; a genuine limitation given no further disclosure is available.</t>
  </si>
  <si>
    <t>Net investment in tangible and intangible fixed assets (capex, disposals, depreciation, amortisation and impairment, net)</t>
  </si>
  <si>
    <t>Tangible and intangible assets (incl. goodwill) are combined because the source does not disclose depreciation/amortisation split by asset class on the face of the statements (see note 6). Formula: -(Δ Tangible NBV + Δ Intangible NBV) + D&amp;A + non-financial impairment.</t>
  </si>
  <si>
    <t>Net movement in non-current assets and disposal groups held for sale, net of associated liabilities</t>
  </si>
  <si>
    <t>This is the single largest driver of the 'Unreconciled balance' below: the EUR 71.0bn increase in disposal-group assets in 2025 is predominantly a Balance Sheet RECLASSIFICATION (assets regrouped ahead of a pending disposal), not a cash movement, but this cannot be separated from genuine investing cash flow without the Group's own published cash flow statement, which was deliberately not used here. See Cover &amp; Methodology, note 5.</t>
  </si>
  <si>
    <t>NET CASH FLOW FROM/(USED IN) INVESTING ACTIVITIES</t>
  </si>
  <si>
    <t>Subtotal of the investing lines above.</t>
  </si>
  <si>
    <t>FINANCING ACTIVITIES</t>
  </si>
  <si>
    <t>Net issuance/(repayment) of debt securities issued (wholesale funding)</t>
  </si>
  <si>
    <t>Sum of the 'Debt securities issued' balance across all three liability categories on the Balance Sheet tab.</t>
  </si>
  <si>
    <t>Capital reduction (net equity impact)</t>
  </si>
  <si>
    <t>Linked from Equity Rollforward, 'TOTAL EQUITY' column. Mostly a non-cash cancellation of already-repurchased treasury shares; the cash outflow itself is captured in the treasury-share purchase line below.</t>
  </si>
  <si>
    <t>Dividends paid (to owners of the parent and non-controlling interests)</t>
  </si>
  <si>
    <t>Linked from Equity Rollforward.</t>
  </si>
  <si>
    <t>Redemption/exercise of other equity instruments (e.g. AT1 capital instruments)</t>
  </si>
  <si>
    <t>Linked from Equity Rollforward (zero in FY2025; a EUR 1,341m AT1-type redemption in FY2024).</t>
  </si>
  <si>
    <t>Business combinations, net (non-controlling interest impact)</t>
  </si>
  <si>
    <t>Other equity movements, net</t>
  </si>
  <si>
    <t>Linked from Equity Rollforward; residual second-order equity items (e.g. non-controlling interest transactions) not separately identified in the source.</t>
  </si>
  <si>
    <t>Memo (excluded, non-cash, not in the sum below): share-based payments and transfers between equity components</t>
  </si>
  <si>
    <t>NET CASH FLOW FROM/(USED IN) FINANCING ACTIVITIES</t>
  </si>
  <si>
    <t>Subtotal of the financing lines above.</t>
  </si>
  <si>
    <t>RECONCILIATION TO REPORTED CASH</t>
  </si>
  <si>
    <t>Net cash flow before unreconciled balance</t>
  </si>
  <si>
    <t>Formula: Operating + Investing + Financing net cash flow, as reconstructed above.</t>
  </si>
  <si>
    <t>Actual change in cash and cash equivalents (per Balance Sheet)</t>
  </si>
  <si>
    <t>Linked from the Balance Sheet tab cash line.</t>
  </si>
  <si>
    <t>Unreconciled balance (bridge to reported cash movement) — see Cover &amp; Methodology, note 5</t>
  </si>
  <si>
    <t>Formula: Actual Balance Sheet cash movement LESS the net cash flow reconstructed above. Not an invented figure — it is the formula-computed residual, isolated here (rather than allocated across causes we cannot separately quantify) precisely so the model still ties to reported cash. See Cover &amp; Methodology, note 5 for the drivers we believe explain most of this line.</t>
  </si>
  <si>
    <t>NET INCREASE/(DECREASE) IN CASH AND CASH EQUIVALENTS</t>
  </si>
  <si>
    <t>Formula: Net cash flow before unreconciled balance, plus the bridge line (equals the actual Balance Sheet cash movement by construction).</t>
  </si>
  <si>
    <t>Cash and cash equivalents at beginning of year</t>
  </si>
  <si>
    <t>Linked from the Balance Sheet tab, prior-year column.</t>
  </si>
  <si>
    <t>Cash and cash equivalents at end of year</t>
  </si>
  <si>
    <t>Formula: Opening cash plus the net increase/(decrease) for the year.</t>
  </si>
  <si>
    <t>Check: closing cash per this statement vs. Balance Sheet (should equal zero)</t>
  </si>
  <si>
    <t>By construction (via the bridge line above) this is always zero.</t>
  </si>
  <si>
    <t>Banco Santander — Direct Consolidated Cash Flow Statement (reconstructed)</t>
  </si>
  <si>
    <t>Years ended 31 December 2025 and 2024 — operating section built from income-statement accrual proxies; investing, financing and the reconciliation to reported cash are linked from the Indirect Cash Flow tab, since IAS 7 only allows the two methods to differ in how operating activities are presented</t>
  </si>
  <si>
    <t>OPERATING ACTIVITIES (direct method — income-statement accrual used as a cash proxy where a genuine cash-received/cash-paid figure is not separately disclosed)</t>
  </si>
  <si>
    <t>Interest received</t>
  </si>
  <si>
    <t>Proxy: income-statement accrual (interest income). No separate cash-basis interest disclosure exists in the source statements.</t>
  </si>
  <si>
    <t>Interest paid</t>
  </si>
  <si>
    <t>Proxy: income-statement accrual (interest expense).</t>
  </si>
  <si>
    <t>Dividends received</t>
  </si>
  <si>
    <t>Linked from P&amp;L.</t>
  </si>
  <si>
    <t>Fee and commission income received</t>
  </si>
  <si>
    <t>Fee and commission expense paid</t>
  </si>
  <si>
    <t>Net gains/(losses) on financial transactions received/(paid)</t>
  </si>
  <si>
    <t>Sum of 5 trading/FV P&amp;L lines. Linked from P&amp;L.</t>
  </si>
  <si>
    <t>Net exchange differences</t>
  </si>
  <si>
    <t>Other operating income received</t>
  </si>
  <si>
    <t>Other operating expenses paid</t>
  </si>
  <si>
    <t>Net income/(expense) from insurance and reinsurance contracts</t>
  </si>
  <si>
    <t>Cash paid to employees and suppliers (administrative expenses)</t>
  </si>
  <si>
    <t>Proxy: income-statement accrual (staff + other administrative expenses).</t>
  </si>
  <si>
    <t>Net provisions charged (accrual proxy)</t>
  </si>
  <si>
    <t>Accrual proxy only — the true cash effect is captured in 'changes in operating assets and liabilities' below (linked from the Indirect tab), which nets this accrual against the actual Balance Sheet provision movement so the two are not double-counted.</t>
  </si>
  <si>
    <t>Impairment losses on financial assets, net (accrual proxy)</t>
  </si>
  <si>
    <t>Accrual proxy only — true cash effect captured in 'changes in operating assets and liabilities' below.</t>
  </si>
  <si>
    <t>Income tax paid (accrual proxy)</t>
  </si>
  <si>
    <t>Proxy: income-statement accrual. No separate cash-tax-paid disclosure exists in the source.</t>
  </si>
  <si>
    <t>Profit after tax from discontinued operations (accrual proxy)</t>
  </si>
  <si>
    <t>Cash flow from operating activities before changes in operating assets and liabilities</t>
  </si>
  <si>
    <t>Subtotal of the direct-method lines above. By construction this equals the equivalent pre-working-capital subtotal on the Indirect Cash Flow tab — both are derived from the same P&amp;L, just regrouped differently (see the cross-check row below).</t>
  </si>
  <si>
    <t>Changes in operating assets and liabilities, net (linked from Indirect Cash Flow tab)</t>
  </si>
  <si>
    <t>Single source of truth: identical working-capital methodology under both the direct and indirect method, so this line is linked rather than rebuilt.</t>
  </si>
  <si>
    <t>Formula: Cash flow before working-capital changes, plus the working-capital changes above.</t>
  </si>
  <si>
    <t>Cross-check: vs. Indirect Cash Flow tab operating total (should equal zero — true identity, not a plug)</t>
  </si>
  <si>
    <t>Both methods are built from the same source data and must tie exactly by construction.</t>
  </si>
  <si>
    <t>INVESTING ACTIVITIES (linked from Indirect Cash Flow tab — identical under both methods)</t>
  </si>
  <si>
    <t>Linked from Indirect Cash Flow tab.</t>
  </si>
  <si>
    <t>Net investment in tangible and intangible fixed assets, net</t>
  </si>
  <si>
    <t>Linked from Indirect Cash Flow tab. See Cover &amp; Methodology, note 5.</t>
  </si>
  <si>
    <t>FINANCING ACTIVITIES (linked from Indirect Cash Flow tab — identical under both methods)</t>
  </si>
  <si>
    <t>RECONCILIATION TO REPORTED CASH (linked from Indirect Cash Flow tab)</t>
  </si>
  <si>
    <t>Formula: Actual Balance Sheet cash movement LESS the net cash flow reconstructed above (see the Indirect Cash Flow tab and Cover &amp; Methodology, note 5, for the same figure and its drivers — the direct and indirect methods necessarily carry the same unreconciled amount, since both tie to the same reported Balance Sheet cash balance).</t>
  </si>
  <si>
    <t>Formula: Net cash flow before unreconciled balance, plus the bridge line.</t>
  </si>
  <si>
    <t>By construction (via the bridge line above) this is always zero, in both the direct and the indirect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</si>
</sst>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
  </numFmts>
  <fonts count="16" x14ac:knownFonts="1">
    <font>
      <sz val="11"/>
      <color theme="1"/>
      <name val="Calibri"/>
      <family val="2"/>
      <charset val="1"/>
    </font>
    <font>
      <b/>
      <sz val="18"/>
      <color rgb="FFFFFFFF"/>
      <name val="Arial"/>
      <family val="2"/>
    </font>
    <font>
      <i/>
      <sz val="11"/>
      <color rgb="FFFFFFFF"/>
      <name val="Arial"/>
      <family val="2"/>
    </font>
    <font>
      <b/>
      <sz val="11"/>
      <color rgb="FF1F4E78"/>
      <name val="Arial"/>
      <family val="2"/>
    </font>
    <font>
      <sz val="10"/>
      <color rgb="FF000000"/>
      <name val="Arial"/>
      <family val="2"/>
    </font>
    <font>
      <b/>
      <sz val="16"/>
      <color rgb="FFFFFFFF"/>
      <name val="Arial"/>
      <family val="2"/>
    </font>
    <font>
      <i/>
      <sz val="9"/>
      <color rgb="FFFFFFFF"/>
      <name val="Arial"/>
      <family val="2"/>
    </font>
    <font>
      <b/>
      <sz val="10"/>
      <color rgb="FFFFFFFF"/>
      <name val="Arial"/>
      <family val="2"/>
    </font>
    <font>
      <i/>
      <sz val="9"/>
      <color rgb="FF595959"/>
      <name val="Arial"/>
      <family val="2"/>
    </font>
    <font>
      <sz val="10"/>
      <color rgb="FF0000FF"/>
      <name val="Arial"/>
      <family val="2"/>
    </font>
    <font>
      <b/>
      <sz val="10"/>
      <color rgb="FF000000"/>
      <name val="Arial"/>
      <family val="2"/>
    </font>
    <font>
      <sz val="9"/>
      <color rgb="FFFFFFFF"/>
      <name val="Arial"/>
      <family val="2"/>
    </font>
    <font>
      <b/>
      <sz val="10"/>
      <color rgb="FF1F4E78"/>
      <name val="Arial"/>
      <family val="2"/>
    </font>
    <font>
      <i/>
      <sz val="9"/>
      <color rgb="FF808080"/>
      <name val="Arial"/>
      <family val="2"/>
    </font>
    <font>
      <b/>
      <sz val="10"/>
      <color rgb="FF9C0006"/>
      <name val="Arial"/>
      <family val="2"/>
    </font>
    <font>
      <sz val="10"/>
      <color rgb="FF008000"/>
      <name val="Arial"/>
      <family val="2"/>
    </font>
  </fonts>
  <fills count="8">
    <fill>
      <patternFill patternType="none"/>
    </fill>
    <fill>
      <patternFill patternType="gray125"/>
    </fill>
    <fill>
      <patternFill patternType="solid">
        <fgColor rgb="FF1F4E78"/>
        <bgColor rgb="FF003366"/>
      </patternFill>
    </fill>
    <fill>
      <patternFill patternType="solid">
        <fgColor rgb="FFDCE6F1"/>
        <bgColor rgb="FFD9D9D9"/>
      </patternFill>
    </fill>
    <fill>
      <patternFill patternType="solid">
        <fgColor rgb="FF2E75B6"/>
        <bgColor rgb="FF0066CC"/>
      </patternFill>
    </fill>
    <fill>
      <patternFill patternType="solid">
        <fgColor rgb="FFD9D9D9"/>
        <bgColor rgb="FFDCE6F1"/>
      </patternFill>
    </fill>
    <fill>
      <patternFill patternType="solid">
        <fgColor rgb="FFF2F2F2"/>
        <bgColor rgb="FFFFFFFF"/>
      </patternFill>
    </fill>
    <fill>
      <patternFill patternType="solid">
        <fgColor rgb="FFFFC7CE"/>
        <bgColor rgb="FFD9D9D9"/>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top style="double">
        <color auto="1"/>
      </top>
      <bottom/>
      <diagonal/>
    </border>
  </borders>
  <cellStyleXfs count="1">
    <xf numFmtId="0" fontId="0" fillId="0" borderId="0"/>
  </cellStyleXfs>
  <cellXfs count="55">
    <xf numFmtId="0" fontId="0" fillId="0" borderId="0" xfId="0"/>
    <xf numFmtId="0" fontId="8" fillId="0" borderId="0" xfId="0" applyFont="1"/>
    <xf numFmtId="0" fontId="12" fillId="3" borderId="0" xfId="0" applyFont="1" applyFill="1" applyAlignment="1">
      <alignment horizontal="left" vertical="center" indent="1"/>
    </xf>
    <xf numFmtId="0" fontId="6" fillId="2" borderId="0" xfId="0" applyFont="1" applyFill="1" applyAlignment="1">
      <alignment horizontal="left" vertical="center"/>
    </xf>
    <xf numFmtId="0" fontId="2" fillId="2" borderId="0" xfId="0" applyFont="1" applyFill="1" applyAlignment="1">
      <alignment horizontal="left" vertical="center"/>
    </xf>
    <xf numFmtId="0" fontId="5" fillId="2" borderId="0" xfId="0" applyFont="1" applyFill="1" applyAlignment="1">
      <alignment horizontal="left" vertical="center"/>
    </xf>
    <xf numFmtId="0" fontId="4" fillId="0" borderId="0" xfId="0" applyFont="1" applyAlignment="1">
      <alignment horizontal="left" vertical="top" wrapText="1"/>
    </xf>
    <xf numFmtId="0" fontId="3" fillId="3" borderId="0" xfId="0" applyFont="1" applyFill="1" applyAlignment="1">
      <alignment horizontal="left" indent="1"/>
    </xf>
    <xf numFmtId="0" fontId="2" fillId="2" borderId="0" xfId="0" applyFont="1" applyFill="1" applyAlignment="1">
      <alignment horizontal="left" vertical="center" indent="1"/>
    </xf>
    <xf numFmtId="0" fontId="1" fillId="2" borderId="0" xfId="0" applyFont="1" applyFill="1" applyAlignment="1">
      <alignment horizontal="left" vertical="center" indent="1"/>
    </xf>
    <xf numFmtId="0" fontId="7" fillId="4" borderId="1" xfId="0" applyFont="1" applyFill="1" applyBorder="1" applyAlignment="1">
      <alignment horizontal="left" vertical="center"/>
    </xf>
    <xf numFmtId="0" fontId="7" fillId="4" borderId="1" xfId="0" applyFont="1" applyFill="1" applyBorder="1" applyAlignment="1">
      <alignment horizontal="center" vertical="center"/>
    </xf>
    <xf numFmtId="0" fontId="4" fillId="0" borderId="0" xfId="0" applyFont="1" applyAlignment="1">
      <alignment horizontal="left" vertical="center"/>
    </xf>
    <xf numFmtId="0" fontId="8" fillId="0" borderId="0" xfId="0" applyFont="1" applyAlignment="1">
      <alignment horizontal="center" vertical="center"/>
    </xf>
    <xf numFmtId="164" fontId="9" fillId="0" borderId="0" xfId="0" applyNumberFormat="1" applyFont="1" applyAlignment="1">
      <alignment horizontal="right" vertical="center"/>
    </xf>
    <xf numFmtId="0" fontId="8" fillId="0" borderId="0" xfId="0" applyFont="1" applyAlignment="1">
      <alignment horizontal="left" vertical="center"/>
    </xf>
    <xf numFmtId="0" fontId="4" fillId="0" borderId="0" xfId="0" applyFont="1" applyAlignment="1">
      <alignment horizontal="left" vertical="center" indent="1"/>
    </xf>
    <xf numFmtId="0" fontId="10" fillId="5" borderId="0" xfId="0" applyFont="1" applyFill="1" applyAlignment="1">
      <alignment horizontal="left" vertical="center"/>
    </xf>
    <xf numFmtId="0" fontId="8" fillId="5" borderId="0" xfId="0" applyFont="1" applyFill="1" applyAlignment="1">
      <alignment horizontal="center" vertical="center"/>
    </xf>
    <xf numFmtId="164" fontId="10" fillId="5" borderId="2" xfId="0" applyNumberFormat="1" applyFont="1" applyFill="1" applyBorder="1" applyAlignment="1">
      <alignment horizontal="right" vertical="center"/>
    </xf>
    <xf numFmtId="0" fontId="8" fillId="5" borderId="0" xfId="0" applyFont="1" applyFill="1" applyAlignment="1">
      <alignment horizontal="left" vertical="center"/>
    </xf>
    <xf numFmtId="0" fontId="7" fillId="2" borderId="0" xfId="0" applyFont="1" applyFill="1" applyAlignment="1">
      <alignment horizontal="left" vertical="center"/>
    </xf>
    <xf numFmtId="0" fontId="11" fillId="2" borderId="0" xfId="0" applyFont="1" applyFill="1" applyAlignment="1">
      <alignment horizontal="center" vertical="center"/>
    </xf>
    <xf numFmtId="164" fontId="7" fillId="2" borderId="3" xfId="0" applyNumberFormat="1" applyFont="1" applyFill="1" applyBorder="1" applyAlignment="1">
      <alignment horizontal="right" vertical="center"/>
    </xf>
    <xf numFmtId="0" fontId="8" fillId="2" borderId="0" xfId="0" applyFont="1" applyFill="1" applyAlignment="1">
      <alignment horizontal="left" vertical="center"/>
    </xf>
    <xf numFmtId="0" fontId="10" fillId="5" borderId="0" xfId="0" applyFont="1" applyFill="1" applyAlignment="1">
      <alignment horizontal="left" vertical="center" indent="1"/>
    </xf>
    <xf numFmtId="165" fontId="9" fillId="0" borderId="0" xfId="0" applyNumberFormat="1" applyFont="1" applyAlignment="1">
      <alignment horizontal="right" vertical="center"/>
    </xf>
    <xf numFmtId="0" fontId="4" fillId="0" borderId="0" xfId="0" applyFont="1" applyAlignment="1">
      <alignment horizontal="left" vertical="center" indent="2"/>
    </xf>
    <xf numFmtId="0" fontId="13" fillId="6" borderId="0" xfId="0" applyFont="1" applyFill="1" applyAlignment="1">
      <alignment horizontal="left" vertical="center" indent="2"/>
    </xf>
    <xf numFmtId="0" fontId="8" fillId="6" borderId="0" xfId="0" applyFont="1" applyFill="1" applyAlignment="1">
      <alignment horizontal="center" vertical="center"/>
    </xf>
    <xf numFmtId="164" fontId="13" fillId="6" borderId="0" xfId="0" applyNumberFormat="1" applyFont="1" applyFill="1" applyAlignment="1">
      <alignment horizontal="right" vertical="center"/>
    </xf>
    <xf numFmtId="0" fontId="8" fillId="6" borderId="0" xfId="0" applyFont="1" applyFill="1" applyAlignment="1">
      <alignment horizontal="left" vertical="center"/>
    </xf>
    <xf numFmtId="0" fontId="7" fillId="2" borderId="3" xfId="0" applyFont="1" applyFill="1" applyBorder="1"/>
    <xf numFmtId="0" fontId="6" fillId="2" borderId="3" xfId="0" applyFont="1" applyFill="1" applyBorder="1"/>
    <xf numFmtId="0" fontId="13" fillId="6" borderId="0" xfId="0" applyFont="1" applyFill="1" applyAlignment="1">
      <alignment horizontal="left" vertical="center" indent="1"/>
    </xf>
    <xf numFmtId="0" fontId="14" fillId="0" borderId="0" xfId="0" applyFont="1" applyAlignment="1">
      <alignment horizontal="left" vertical="center" indent="1"/>
    </xf>
    <xf numFmtId="164" fontId="14" fillId="0" borderId="0" xfId="0" applyNumberFormat="1" applyFont="1" applyAlignment="1">
      <alignment horizontal="right" vertical="center"/>
    </xf>
    <xf numFmtId="0" fontId="14" fillId="0" borderId="0" xfId="0" applyFont="1" applyAlignment="1">
      <alignment horizontal="left" vertical="center"/>
    </xf>
    <xf numFmtId="164" fontId="10" fillId="0" borderId="0" xfId="0" applyNumberFormat="1" applyFont="1" applyAlignment="1">
      <alignment horizontal="center" vertical="center"/>
    </xf>
    <xf numFmtId="164" fontId="10" fillId="0" borderId="0" xfId="0" applyNumberFormat="1" applyFont="1" applyAlignment="1">
      <alignment horizontal="right" vertical="center"/>
    </xf>
    <xf numFmtId="164" fontId="10" fillId="0" borderId="0" xfId="0" applyNumberFormat="1" applyFont="1" applyAlignment="1">
      <alignment horizontal="left" vertical="center"/>
    </xf>
    <xf numFmtId="164" fontId="10" fillId="0" borderId="0" xfId="0" applyNumberFormat="1" applyFont="1"/>
    <xf numFmtId="164" fontId="14" fillId="0" borderId="0" xfId="0" applyNumberFormat="1" applyFont="1" applyAlignment="1">
      <alignment horizontal="center" vertical="center"/>
    </xf>
    <xf numFmtId="164" fontId="14" fillId="0" borderId="0" xfId="0" applyNumberFormat="1" applyFont="1" applyAlignment="1">
      <alignment horizontal="left" vertical="center"/>
    </xf>
    <xf numFmtId="164" fontId="14" fillId="0" borderId="0" xfId="0" applyNumberFormat="1" applyFont="1"/>
    <xf numFmtId="164" fontId="15" fillId="0" borderId="0" xfId="0" applyNumberFormat="1" applyFont="1" applyAlignment="1">
      <alignment horizontal="right" vertical="center"/>
    </xf>
    <xf numFmtId="0" fontId="8" fillId="0" borderId="0" xfId="0" applyFont="1" applyAlignment="1">
      <alignment horizontal="left" vertical="top" wrapText="1"/>
    </xf>
    <xf numFmtId="0" fontId="8" fillId="5" borderId="0" xfId="0" applyFont="1" applyFill="1" applyAlignment="1">
      <alignment horizontal="left" vertical="top" wrapText="1"/>
    </xf>
    <xf numFmtId="164" fontId="4" fillId="0" borderId="0" xfId="0" applyNumberFormat="1" applyFont="1" applyAlignment="1">
      <alignment horizontal="right" vertical="center"/>
    </xf>
    <xf numFmtId="0" fontId="8" fillId="2" borderId="0" xfId="0" applyFont="1" applyFill="1" applyAlignment="1">
      <alignment horizontal="left" vertical="top" wrapText="1"/>
    </xf>
    <xf numFmtId="0" fontId="13" fillId="6" borderId="0" xfId="0" applyFont="1" applyFill="1" applyAlignment="1">
      <alignment horizontal="left" vertical="top" wrapText="1"/>
    </xf>
    <xf numFmtId="0" fontId="0" fillId="6" borderId="0" xfId="0" applyFill="1"/>
    <xf numFmtId="0" fontId="14" fillId="7" borderId="0" xfId="0" applyFont="1" applyFill="1" applyAlignment="1">
      <alignment horizontal="left" vertical="center"/>
    </xf>
    <xf numFmtId="164" fontId="14" fillId="7" borderId="0" xfId="0" applyNumberFormat="1" applyFont="1" applyFill="1" applyAlignment="1">
      <alignment horizontal="right" vertical="center"/>
    </xf>
    <xf numFmtId="0" fontId="8" fillId="7" borderId="0" xfId="0" applyFont="1" applyFill="1" applyAlignment="1">
      <alignment horizontal="left" vertical="top" wrapText="1"/>
    </xf>
  </cellXfs>
  <cellStyles count="1">
    <cellStyle name="Normal" xfId="0" builtinId="0"/>
  </cellStyles>
  <dxfs count="9">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808080"/>
      <rgbColor rgb="FF9999FF"/>
      <rgbColor rgb="FF993366"/>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28"/>
  <sheetViews>
    <sheetView showGridLines="0" zoomScaleNormal="100" workbookViewId="0">
      <selection sqref="A1:B1"/>
    </sheetView>
  </sheetViews>
  <sheetFormatPr baseColWidth="10" defaultColWidth="8.6640625" defaultRowHeight="15" x14ac:dyDescent="0.2"/>
  <cols>
    <col min="1" max="1" width="4" customWidth="1"/>
    <col min="2" max="2" width="108" customWidth="1"/>
  </cols>
  <sheetData>
    <row r="1" spans="1:2" ht="30" customHeight="1" x14ac:dyDescent="0.2">
      <c r="A1" s="9" t="s">
        <v>0</v>
      </c>
      <c r="B1" s="9"/>
    </row>
    <row r="2" spans="1:2" ht="21.75" customHeight="1" x14ac:dyDescent="0.2">
      <c r="A2" s="8" t="s">
        <v>1</v>
      </c>
      <c r="B2" s="8"/>
    </row>
    <row r="4" spans="1:2" ht="18" customHeight="1" x14ac:dyDescent="0.2">
      <c r="A4" s="7" t="s">
        <v>2</v>
      </c>
      <c r="B4" s="7"/>
    </row>
    <row r="5" spans="1:2" ht="75" customHeight="1" x14ac:dyDescent="0.2">
      <c r="A5" s="6" t="s">
        <v>3</v>
      </c>
      <c r="B5" s="6"/>
    </row>
    <row r="6" spans="1:2" ht="30" customHeight="1" x14ac:dyDescent="0.2">
      <c r="A6" s="6" t="s">
        <v>4</v>
      </c>
      <c r="B6" s="6"/>
    </row>
    <row r="8" spans="1:2" ht="18" customHeight="1" x14ac:dyDescent="0.2">
      <c r="A8" s="7" t="s">
        <v>5</v>
      </c>
      <c r="B8" s="7"/>
    </row>
    <row r="9" spans="1:2" ht="60" customHeight="1" x14ac:dyDescent="0.2">
      <c r="A9" s="6" t="s">
        <v>6</v>
      </c>
      <c r="B9" s="6"/>
    </row>
    <row r="10" spans="1:2" ht="15" customHeight="1" x14ac:dyDescent="0.2">
      <c r="A10" s="6" t="s">
        <v>7</v>
      </c>
      <c r="B10" s="6"/>
    </row>
    <row r="12" spans="1:2" ht="18" customHeight="1" x14ac:dyDescent="0.2">
      <c r="A12" s="7" t="s">
        <v>8</v>
      </c>
      <c r="B12" s="7"/>
    </row>
    <row r="13" spans="1:2" ht="60" customHeight="1" x14ac:dyDescent="0.2">
      <c r="A13" s="6" t="s">
        <v>9</v>
      </c>
      <c r="B13" s="6"/>
    </row>
    <row r="15" spans="1:2" ht="18" customHeight="1" x14ac:dyDescent="0.2">
      <c r="A15" s="7" t="s">
        <v>10</v>
      </c>
      <c r="B15" s="7"/>
    </row>
    <row r="16" spans="1:2" ht="45" customHeight="1" x14ac:dyDescent="0.2">
      <c r="A16" s="6" t="s">
        <v>11</v>
      </c>
      <c r="B16" s="6"/>
    </row>
    <row r="18" spans="1:2" ht="18" customHeight="1" x14ac:dyDescent="0.2">
      <c r="A18" s="7" t="s">
        <v>12</v>
      </c>
      <c r="B18" s="7"/>
    </row>
    <row r="19" spans="1:2" ht="75" customHeight="1" x14ac:dyDescent="0.2">
      <c r="A19" s="6" t="s">
        <v>13</v>
      </c>
      <c r="B19" s="6"/>
    </row>
    <row r="20" spans="1:2" ht="150" customHeight="1" x14ac:dyDescent="0.2">
      <c r="A20" s="6" t="s">
        <v>14</v>
      </c>
      <c r="B20" s="6"/>
    </row>
    <row r="21" spans="1:2" ht="120" customHeight="1" x14ac:dyDescent="0.2">
      <c r="A21" s="6" t="s">
        <v>15</v>
      </c>
      <c r="B21" s="6"/>
    </row>
    <row r="23" spans="1:2" ht="18" customHeight="1" x14ac:dyDescent="0.2">
      <c r="A23" s="7" t="s">
        <v>16</v>
      </c>
      <c r="B23" s="7"/>
    </row>
    <row r="24" spans="1:2" ht="105" customHeight="1" x14ac:dyDescent="0.2">
      <c r="A24" s="6" t="s">
        <v>17</v>
      </c>
      <c r="B24" s="6"/>
    </row>
    <row r="25" spans="1:2" ht="75" customHeight="1" x14ac:dyDescent="0.2">
      <c r="A25" s="6" t="s">
        <v>18</v>
      </c>
      <c r="B25" s="6"/>
    </row>
    <row r="27" spans="1:2" ht="18" customHeight="1" x14ac:dyDescent="0.2">
      <c r="A27" s="7" t="s">
        <v>19</v>
      </c>
      <c r="B27" s="7"/>
    </row>
    <row r="28" spans="1:2" ht="75" customHeight="1" x14ac:dyDescent="0.2">
      <c r="A28" s="6" t="s">
        <v>20</v>
      </c>
      <c r="B28" s="6"/>
    </row>
  </sheetData>
  <mergeCells count="21">
    <mergeCell ref="A28:B28"/>
    <mergeCell ref="A21:B21"/>
    <mergeCell ref="A23:B23"/>
    <mergeCell ref="A24:B24"/>
    <mergeCell ref="A25:B25"/>
    <mergeCell ref="A27:B27"/>
    <mergeCell ref="A15:B15"/>
    <mergeCell ref="A16:B16"/>
    <mergeCell ref="A18:B18"/>
    <mergeCell ref="A19:B19"/>
    <mergeCell ref="A20:B20"/>
    <mergeCell ref="A8:B8"/>
    <mergeCell ref="A9:B9"/>
    <mergeCell ref="A10:B10"/>
    <mergeCell ref="A12:B12"/>
    <mergeCell ref="A13:B13"/>
    <mergeCell ref="A1:B1"/>
    <mergeCell ref="A2:B2"/>
    <mergeCell ref="A4:B4"/>
    <mergeCell ref="A5:B5"/>
    <mergeCell ref="A6:B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F55"/>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5" x14ac:dyDescent="0.2"/>
  <cols>
    <col min="1" max="1" width="62" customWidth="1"/>
    <col min="2" max="2" width="8" customWidth="1"/>
    <col min="3" max="5" width="17" customWidth="1"/>
    <col min="6" max="6" width="62" customWidth="1"/>
  </cols>
  <sheetData>
    <row r="1" spans="1:6" ht="25.5" customHeight="1" x14ac:dyDescent="0.2">
      <c r="A1" s="5" t="s">
        <v>21</v>
      </c>
      <c r="B1" s="5"/>
      <c r="C1" s="5"/>
      <c r="D1" s="5"/>
      <c r="E1" s="5"/>
      <c r="F1" s="5"/>
    </row>
    <row r="2" spans="1:6" ht="15" customHeight="1" x14ac:dyDescent="0.2">
      <c r="A2" s="4" t="s">
        <v>22</v>
      </c>
      <c r="B2" s="4"/>
      <c r="C2" s="4"/>
      <c r="D2" s="4"/>
      <c r="E2" s="4"/>
      <c r="F2" s="4"/>
    </row>
    <row r="3" spans="1:6" ht="15" customHeight="1" x14ac:dyDescent="0.2">
      <c r="A3" s="3" t="s">
        <v>23</v>
      </c>
      <c r="B3" s="3"/>
      <c r="C3" s="3"/>
      <c r="D3" s="3"/>
      <c r="E3" s="3"/>
      <c r="F3" s="3"/>
    </row>
    <row r="5" spans="1:6" ht="27.75" customHeight="1" x14ac:dyDescent="0.2">
      <c r="A5" s="10" t="s">
        <v>24</v>
      </c>
      <c r="B5" s="11" t="s">
        <v>25</v>
      </c>
      <c r="C5" s="11" t="s">
        <v>26</v>
      </c>
      <c r="D5" s="11" t="s">
        <v>27</v>
      </c>
      <c r="E5" s="11" t="s">
        <v>28</v>
      </c>
      <c r="F5" s="11" t="s">
        <v>29</v>
      </c>
    </row>
    <row r="6" spans="1:6" x14ac:dyDescent="0.2">
      <c r="A6" s="12" t="s">
        <v>30</v>
      </c>
      <c r="B6" s="13" t="s">
        <v>31</v>
      </c>
      <c r="C6" s="14">
        <v>101710000</v>
      </c>
      <c r="D6" s="14">
        <v>109012000</v>
      </c>
      <c r="E6" s="14">
        <v>101742000</v>
      </c>
      <c r="F6" s="15" t="s">
        <v>32</v>
      </c>
    </row>
    <row r="7" spans="1:6" x14ac:dyDescent="0.2">
      <c r="A7" s="16" t="s">
        <v>33</v>
      </c>
      <c r="B7" s="13"/>
      <c r="C7" s="14">
        <v>5713000</v>
      </c>
      <c r="D7" s="14">
        <v>6931000</v>
      </c>
      <c r="E7" s="14">
        <v>5533000</v>
      </c>
      <c r="F7" s="15" t="s">
        <v>32</v>
      </c>
    </row>
    <row r="8" spans="1:6" x14ac:dyDescent="0.2">
      <c r="A8" s="16" t="s">
        <v>34</v>
      </c>
      <c r="B8" s="13"/>
      <c r="C8" s="14">
        <v>76248000</v>
      </c>
      <c r="D8" s="14">
        <v>80992000</v>
      </c>
      <c r="E8" s="14">
        <v>74799000</v>
      </c>
      <c r="F8" s="15" t="s">
        <v>32</v>
      </c>
    </row>
    <row r="9" spans="1:6" x14ac:dyDescent="0.2">
      <c r="A9" s="16" t="s">
        <v>35</v>
      </c>
      <c r="B9" s="13"/>
      <c r="C9" s="14">
        <v>19749000</v>
      </c>
      <c r="D9" s="14">
        <v>21089000</v>
      </c>
      <c r="E9" s="14">
        <v>21410000</v>
      </c>
      <c r="F9" s="15" t="s">
        <v>32</v>
      </c>
    </row>
    <row r="10" spans="1:6" x14ac:dyDescent="0.2">
      <c r="A10" s="12" t="s">
        <v>36</v>
      </c>
      <c r="B10" s="13" t="s">
        <v>37</v>
      </c>
      <c r="C10" s="14">
        <v>-59362000</v>
      </c>
      <c r="D10" s="14">
        <v>-65225000</v>
      </c>
      <c r="E10" s="14">
        <v>-61092000</v>
      </c>
      <c r="F10" s="15" t="s">
        <v>32</v>
      </c>
    </row>
    <row r="11" spans="1:6" x14ac:dyDescent="0.2">
      <c r="A11" s="17" t="s">
        <v>38</v>
      </c>
      <c r="B11" s="18"/>
      <c r="C11" s="19">
        <v>42348000</v>
      </c>
      <c r="D11" s="19">
        <v>43787000</v>
      </c>
      <c r="E11" s="19">
        <v>40650000</v>
      </c>
      <c r="F11" s="20" t="s">
        <v>32</v>
      </c>
    </row>
    <row r="12" spans="1:6" x14ac:dyDescent="0.2">
      <c r="A12" s="12" t="s">
        <v>39</v>
      </c>
      <c r="B12" s="13" t="s">
        <v>40</v>
      </c>
      <c r="C12" s="14">
        <v>715000</v>
      </c>
      <c r="D12" s="14">
        <v>710000</v>
      </c>
      <c r="E12" s="14">
        <v>568000</v>
      </c>
      <c r="F12" s="15" t="s">
        <v>32</v>
      </c>
    </row>
    <row r="13" spans="1:6" x14ac:dyDescent="0.2">
      <c r="A13" s="12" t="s">
        <v>41</v>
      </c>
      <c r="B13" s="13" t="s">
        <v>42</v>
      </c>
      <c r="C13" s="14">
        <v>665000</v>
      </c>
      <c r="D13" s="14">
        <v>687000</v>
      </c>
      <c r="E13" s="14">
        <v>591000</v>
      </c>
      <c r="F13" s="15" t="s">
        <v>32</v>
      </c>
    </row>
    <row r="14" spans="1:6" x14ac:dyDescent="0.2">
      <c r="A14" s="12" t="s">
        <v>43</v>
      </c>
      <c r="B14" s="13" t="s">
        <v>44</v>
      </c>
      <c r="C14" s="14">
        <v>17387000</v>
      </c>
      <c r="D14" s="14">
        <v>16834000</v>
      </c>
      <c r="E14" s="14">
        <v>15644000</v>
      </c>
      <c r="F14" s="15" t="s">
        <v>32</v>
      </c>
    </row>
    <row r="15" spans="1:6" x14ac:dyDescent="0.2">
      <c r="A15" s="12" t="s">
        <v>45</v>
      </c>
      <c r="B15" s="13" t="s">
        <v>46</v>
      </c>
      <c r="C15" s="14">
        <v>-4411000</v>
      </c>
      <c r="D15" s="14">
        <v>-4458000</v>
      </c>
      <c r="E15" s="14">
        <v>-4149000</v>
      </c>
      <c r="F15" s="15" t="s">
        <v>32</v>
      </c>
    </row>
    <row r="16" spans="1:6" x14ac:dyDescent="0.2">
      <c r="A16" s="12" t="s">
        <v>47</v>
      </c>
      <c r="B16" s="13" t="s">
        <v>48</v>
      </c>
      <c r="C16" s="14">
        <v>127000</v>
      </c>
      <c r="D16" s="14">
        <v>-117000</v>
      </c>
      <c r="E16" s="14">
        <v>96000</v>
      </c>
      <c r="F16" s="15" t="s">
        <v>32</v>
      </c>
    </row>
    <row r="17" spans="1:6" x14ac:dyDescent="0.2">
      <c r="A17" s="16" t="s">
        <v>34</v>
      </c>
      <c r="B17" s="13"/>
      <c r="C17" s="14">
        <v>-89000</v>
      </c>
      <c r="D17" s="14">
        <v>-190000</v>
      </c>
      <c r="E17" s="14">
        <v>-3000</v>
      </c>
      <c r="F17" s="15" t="s">
        <v>32</v>
      </c>
    </row>
    <row r="18" spans="1:6" x14ac:dyDescent="0.2">
      <c r="A18" s="16" t="s">
        <v>49</v>
      </c>
      <c r="B18" s="13"/>
      <c r="C18" s="14">
        <v>216000</v>
      </c>
      <c r="D18" s="14">
        <v>73000</v>
      </c>
      <c r="E18" s="14">
        <v>99000</v>
      </c>
      <c r="F18" s="15" t="s">
        <v>32</v>
      </c>
    </row>
    <row r="19" spans="1:6" x14ac:dyDescent="0.2">
      <c r="A19" s="12" t="s">
        <v>50</v>
      </c>
      <c r="B19" s="13" t="s">
        <v>48</v>
      </c>
      <c r="C19" s="14">
        <v>1017000</v>
      </c>
      <c r="D19" s="14">
        <v>1344000</v>
      </c>
      <c r="E19" s="14">
        <v>2316000</v>
      </c>
      <c r="F19" s="15" t="s">
        <v>32</v>
      </c>
    </row>
    <row r="20" spans="1:6" x14ac:dyDescent="0.2">
      <c r="A20" s="12" t="s">
        <v>51</v>
      </c>
      <c r="B20" s="13" t="s">
        <v>48</v>
      </c>
      <c r="C20" s="14">
        <v>1106000</v>
      </c>
      <c r="D20" s="14">
        <v>495000</v>
      </c>
      <c r="E20" s="14">
        <v>198000</v>
      </c>
      <c r="F20" s="15" t="s">
        <v>32</v>
      </c>
    </row>
    <row r="21" spans="1:6" x14ac:dyDescent="0.2">
      <c r="A21" s="12" t="s">
        <v>52</v>
      </c>
      <c r="B21" s="13" t="s">
        <v>48</v>
      </c>
      <c r="C21" s="14">
        <v>-307000</v>
      </c>
      <c r="D21" s="14">
        <v>691000</v>
      </c>
      <c r="E21" s="14">
        <v>-92000</v>
      </c>
      <c r="F21" s="15" t="s">
        <v>32</v>
      </c>
    </row>
    <row r="22" spans="1:6" x14ac:dyDescent="0.2">
      <c r="A22" s="12" t="s">
        <v>53</v>
      </c>
      <c r="B22" s="13" t="s">
        <v>48</v>
      </c>
      <c r="C22" s="14">
        <v>12000</v>
      </c>
      <c r="D22" s="14">
        <v>14000</v>
      </c>
      <c r="E22" s="14">
        <v>69000</v>
      </c>
      <c r="F22" s="15" t="s">
        <v>32</v>
      </c>
    </row>
    <row r="23" spans="1:6" x14ac:dyDescent="0.2">
      <c r="A23" s="12" t="s">
        <v>54</v>
      </c>
      <c r="B23" s="13" t="s">
        <v>55</v>
      </c>
      <c r="C23" s="14">
        <v>407000</v>
      </c>
      <c r="D23" s="14">
        <v>-216000</v>
      </c>
      <c r="E23" s="14">
        <v>-22000</v>
      </c>
      <c r="F23" s="15" t="s">
        <v>32</v>
      </c>
    </row>
    <row r="24" spans="1:6" x14ac:dyDescent="0.2">
      <c r="A24" s="12" t="s">
        <v>56</v>
      </c>
      <c r="B24" s="13" t="s">
        <v>57</v>
      </c>
      <c r="C24" s="14">
        <v>1583000</v>
      </c>
      <c r="D24" s="14">
        <v>846000</v>
      </c>
      <c r="E24" s="14">
        <v>1137000</v>
      </c>
      <c r="F24" s="15" t="s">
        <v>32</v>
      </c>
    </row>
    <row r="25" spans="1:6" x14ac:dyDescent="0.2">
      <c r="A25" s="12" t="s">
        <v>58</v>
      </c>
      <c r="B25" s="13" t="s">
        <v>57</v>
      </c>
      <c r="C25" s="14">
        <v>-2070000</v>
      </c>
      <c r="D25" s="14">
        <v>-2258000</v>
      </c>
      <c r="E25" s="14">
        <v>-2766000</v>
      </c>
      <c r="F25" s="15" t="s">
        <v>32</v>
      </c>
    </row>
    <row r="26" spans="1:6" x14ac:dyDescent="0.2">
      <c r="A26" s="12" t="s">
        <v>59</v>
      </c>
      <c r="B26" s="13"/>
      <c r="C26" s="14">
        <v>476000</v>
      </c>
      <c r="D26" s="14">
        <v>470000</v>
      </c>
      <c r="E26" s="14">
        <v>460000</v>
      </c>
      <c r="F26" s="15" t="s">
        <v>32</v>
      </c>
    </row>
    <row r="27" spans="1:6" x14ac:dyDescent="0.2">
      <c r="A27" s="12" t="s">
        <v>60</v>
      </c>
      <c r="B27" s="13"/>
      <c r="C27" s="14">
        <v>-385000</v>
      </c>
      <c r="D27" s="14">
        <v>-449000</v>
      </c>
      <c r="E27" s="14">
        <v>-449000</v>
      </c>
      <c r="F27" s="15" t="s">
        <v>32</v>
      </c>
    </row>
    <row r="28" spans="1:6" x14ac:dyDescent="0.2">
      <c r="A28" s="17" t="s">
        <v>61</v>
      </c>
      <c r="B28" s="18"/>
      <c r="C28" s="19">
        <v>58670000</v>
      </c>
      <c r="D28" s="19">
        <v>58380000</v>
      </c>
      <c r="E28" s="19">
        <v>54251000</v>
      </c>
      <c r="F28" s="20" t="s">
        <v>32</v>
      </c>
    </row>
    <row r="29" spans="1:6" x14ac:dyDescent="0.2">
      <c r="A29" s="12" t="s">
        <v>62</v>
      </c>
      <c r="B29" s="13"/>
      <c r="C29" s="14">
        <v>-21533000</v>
      </c>
      <c r="D29" s="14">
        <v>-21970000</v>
      </c>
      <c r="E29" s="14">
        <v>-21546000</v>
      </c>
      <c r="F29" s="15" t="s">
        <v>32</v>
      </c>
    </row>
    <row r="30" spans="1:6" x14ac:dyDescent="0.2">
      <c r="A30" s="16" t="s">
        <v>63</v>
      </c>
      <c r="B30" s="13" t="s">
        <v>64</v>
      </c>
      <c r="C30" s="14">
        <v>-13633000</v>
      </c>
      <c r="D30" s="14">
        <v>-13825000</v>
      </c>
      <c r="E30" s="14">
        <v>-13275000</v>
      </c>
      <c r="F30" s="15" t="s">
        <v>32</v>
      </c>
    </row>
    <row r="31" spans="1:6" x14ac:dyDescent="0.2">
      <c r="A31" s="16" t="s">
        <v>65</v>
      </c>
      <c r="B31" s="13" t="s">
        <v>66</v>
      </c>
      <c r="C31" s="14">
        <v>-7900000</v>
      </c>
      <c r="D31" s="14">
        <v>-8145000</v>
      </c>
      <c r="E31" s="14">
        <v>-8271000</v>
      </c>
      <c r="F31" s="15" t="s">
        <v>32</v>
      </c>
    </row>
    <row r="32" spans="1:6" x14ac:dyDescent="0.2">
      <c r="A32" s="12" t="s">
        <v>67</v>
      </c>
      <c r="B32" s="13" t="s">
        <v>68</v>
      </c>
      <c r="C32" s="14">
        <v>-3178000</v>
      </c>
      <c r="D32" s="14">
        <v>-3179000</v>
      </c>
      <c r="E32" s="14">
        <v>-3086000</v>
      </c>
      <c r="F32" s="15" t="s">
        <v>32</v>
      </c>
    </row>
    <row r="33" spans="1:6" x14ac:dyDescent="0.2">
      <c r="A33" s="12" t="s">
        <v>69</v>
      </c>
      <c r="B33" s="13" t="s">
        <v>70</v>
      </c>
      <c r="C33" s="14">
        <v>-2729000</v>
      </c>
      <c r="D33" s="14">
        <v>-3465000</v>
      </c>
      <c r="E33" s="14">
        <v>-2410000</v>
      </c>
      <c r="F33" s="15" t="s">
        <v>32</v>
      </c>
    </row>
    <row r="34" spans="1:6" x14ac:dyDescent="0.2">
      <c r="A34" s="12" t="s">
        <v>71</v>
      </c>
      <c r="B34" s="13"/>
      <c r="C34" s="14">
        <v>-12546000</v>
      </c>
      <c r="D34" s="14">
        <v>-12136000</v>
      </c>
      <c r="E34" s="14">
        <v>-12298000</v>
      </c>
      <c r="F34" s="15" t="s">
        <v>32</v>
      </c>
    </row>
    <row r="35" spans="1:6" x14ac:dyDescent="0.2">
      <c r="A35" s="16" t="s">
        <v>33</v>
      </c>
      <c r="B35" s="13"/>
      <c r="C35" s="14">
        <v>-29000</v>
      </c>
      <c r="D35" s="14">
        <v>1000</v>
      </c>
      <c r="E35" s="14">
        <v>-24000</v>
      </c>
      <c r="F35" s="15" t="s">
        <v>32</v>
      </c>
    </row>
    <row r="36" spans="1:6" x14ac:dyDescent="0.2">
      <c r="A36" s="16" t="s">
        <v>34</v>
      </c>
      <c r="B36" s="13" t="s">
        <v>72</v>
      </c>
      <c r="C36" s="14">
        <v>-12517000</v>
      </c>
      <c r="D36" s="14">
        <v>-12137000</v>
      </c>
      <c r="E36" s="14">
        <v>-12274000</v>
      </c>
      <c r="F36" s="15" t="s">
        <v>32</v>
      </c>
    </row>
    <row r="37" spans="1:6" x14ac:dyDescent="0.2">
      <c r="A37" s="12" t="s">
        <v>73</v>
      </c>
      <c r="B37" s="13" t="s">
        <v>74</v>
      </c>
      <c r="C37" s="14">
        <v>0</v>
      </c>
      <c r="D37" s="14">
        <v>0</v>
      </c>
      <c r="E37" s="14">
        <v>0</v>
      </c>
      <c r="F37" s="15" t="s">
        <v>32</v>
      </c>
    </row>
    <row r="38" spans="1:6" x14ac:dyDescent="0.2">
      <c r="A38" s="12" t="s">
        <v>75</v>
      </c>
      <c r="B38" s="13"/>
      <c r="C38" s="14">
        <v>-251000</v>
      </c>
      <c r="D38" s="14">
        <v>-624000</v>
      </c>
      <c r="E38" s="14">
        <v>-237000</v>
      </c>
      <c r="F38" s="15" t="s">
        <v>32</v>
      </c>
    </row>
    <row r="39" spans="1:6" x14ac:dyDescent="0.2">
      <c r="A39" s="16" t="s">
        <v>76</v>
      </c>
      <c r="B39" s="13" t="s">
        <v>77</v>
      </c>
      <c r="C39" s="14">
        <v>-129000</v>
      </c>
      <c r="D39" s="14">
        <v>-382000</v>
      </c>
      <c r="E39" s="14">
        <v>-135000</v>
      </c>
      <c r="F39" s="15" t="s">
        <v>32</v>
      </c>
    </row>
    <row r="40" spans="1:6" x14ac:dyDescent="0.2">
      <c r="A40" s="16" t="s">
        <v>78</v>
      </c>
      <c r="B40" s="13" t="s">
        <v>79</v>
      </c>
      <c r="C40" s="14">
        <v>-112000</v>
      </c>
      <c r="D40" s="14">
        <v>-231000</v>
      </c>
      <c r="E40" s="14">
        <v>-73000</v>
      </c>
      <c r="F40" s="15" t="s">
        <v>32</v>
      </c>
    </row>
    <row r="41" spans="1:6" x14ac:dyDescent="0.2">
      <c r="A41" s="16" t="s">
        <v>80</v>
      </c>
      <c r="B41" s="13"/>
      <c r="C41" s="14">
        <v>-10000</v>
      </c>
      <c r="D41" s="14">
        <v>-11000</v>
      </c>
      <c r="E41" s="14">
        <v>-29000</v>
      </c>
      <c r="F41" s="15" t="s">
        <v>32</v>
      </c>
    </row>
    <row r="42" spans="1:6" x14ac:dyDescent="0.2">
      <c r="A42" s="12" t="s">
        <v>81</v>
      </c>
      <c r="B42" s="13" t="s">
        <v>82</v>
      </c>
      <c r="C42" s="14">
        <v>0</v>
      </c>
      <c r="D42" s="14">
        <v>368000</v>
      </c>
      <c r="E42" s="14">
        <v>312000</v>
      </c>
      <c r="F42" s="15" t="s">
        <v>32</v>
      </c>
    </row>
    <row r="43" spans="1:6" x14ac:dyDescent="0.2">
      <c r="A43" s="12" t="s">
        <v>83</v>
      </c>
      <c r="B43" s="13"/>
      <c r="C43" s="14">
        <v>22000</v>
      </c>
      <c r="D43" s="14">
        <v>0</v>
      </c>
      <c r="E43" s="14">
        <v>39000</v>
      </c>
      <c r="F43" s="15" t="s">
        <v>32</v>
      </c>
    </row>
    <row r="44" spans="1:6" x14ac:dyDescent="0.2">
      <c r="A44" s="12" t="s">
        <v>84</v>
      </c>
      <c r="B44" s="13" t="s">
        <v>85</v>
      </c>
      <c r="C44" s="14">
        <v>226000</v>
      </c>
      <c r="D44" s="14">
        <v>-27000</v>
      </c>
      <c r="E44" s="14">
        <v>-20000</v>
      </c>
      <c r="F44" s="15" t="s">
        <v>32</v>
      </c>
    </row>
    <row r="45" spans="1:6" x14ac:dyDescent="0.2">
      <c r="A45" s="17" t="s">
        <v>86</v>
      </c>
      <c r="B45" s="18"/>
      <c r="C45" s="19">
        <v>18681000</v>
      </c>
      <c r="D45" s="19">
        <v>17347000</v>
      </c>
      <c r="E45" s="19">
        <v>15005000</v>
      </c>
      <c r="F45" s="20" t="s">
        <v>32</v>
      </c>
    </row>
    <row r="46" spans="1:6" x14ac:dyDescent="0.2">
      <c r="A46" s="12" t="s">
        <v>87</v>
      </c>
      <c r="B46" s="13" t="s">
        <v>88</v>
      </c>
      <c r="C46" s="14">
        <v>-4723000</v>
      </c>
      <c r="D46" s="14">
        <v>-4844000</v>
      </c>
      <c r="E46" s="14">
        <v>-3880000</v>
      </c>
      <c r="F46" s="15" t="s">
        <v>32</v>
      </c>
    </row>
    <row r="47" spans="1:6" x14ac:dyDescent="0.2">
      <c r="A47" s="17" t="s">
        <v>89</v>
      </c>
      <c r="B47" s="18"/>
      <c r="C47" s="19">
        <v>13958000</v>
      </c>
      <c r="D47" s="19">
        <v>12503000</v>
      </c>
      <c r="E47" s="19">
        <v>11125000</v>
      </c>
      <c r="F47" s="20" t="s">
        <v>32</v>
      </c>
    </row>
    <row r="48" spans="1:6" x14ac:dyDescent="0.2">
      <c r="A48" s="12" t="s">
        <v>90</v>
      </c>
      <c r="B48" s="13" t="s">
        <v>91</v>
      </c>
      <c r="C48" s="14">
        <v>1542000</v>
      </c>
      <c r="D48" s="14">
        <v>1241000</v>
      </c>
      <c r="E48" s="14">
        <v>1058000</v>
      </c>
      <c r="F48" s="15" t="s">
        <v>32</v>
      </c>
    </row>
    <row r="49" spans="1:6" x14ac:dyDescent="0.2">
      <c r="A49" s="21" t="s">
        <v>92</v>
      </c>
      <c r="B49" s="22"/>
      <c r="C49" s="23">
        <v>15500000</v>
      </c>
      <c r="D49" s="23">
        <v>13744000</v>
      </c>
      <c r="E49" s="23">
        <v>12183000</v>
      </c>
      <c r="F49" s="24" t="s">
        <v>32</v>
      </c>
    </row>
    <row r="50" spans="1:6" x14ac:dyDescent="0.2">
      <c r="A50" s="16" t="s">
        <v>93</v>
      </c>
      <c r="B50" s="13" t="s">
        <v>94</v>
      </c>
      <c r="C50" s="14">
        <v>1399000</v>
      </c>
      <c r="D50" s="14">
        <v>1170000</v>
      </c>
      <c r="E50" s="14">
        <v>1107000</v>
      </c>
      <c r="F50" s="15" t="s">
        <v>32</v>
      </c>
    </row>
    <row r="51" spans="1:6" x14ac:dyDescent="0.2">
      <c r="A51" s="25" t="s">
        <v>95</v>
      </c>
      <c r="B51" s="18"/>
      <c r="C51" s="19">
        <v>14101000</v>
      </c>
      <c r="D51" s="19">
        <v>12574000</v>
      </c>
      <c r="E51" s="19">
        <v>11076000</v>
      </c>
      <c r="F51" s="20" t="s">
        <v>32</v>
      </c>
    </row>
    <row r="53" spans="1:6" ht="18" customHeight="1" x14ac:dyDescent="0.2">
      <c r="A53" s="2" t="s">
        <v>96</v>
      </c>
      <c r="B53" s="2"/>
      <c r="C53" s="2"/>
      <c r="D53" s="2"/>
      <c r="E53" s="2"/>
      <c r="F53" s="2"/>
    </row>
    <row r="54" spans="1:6" x14ac:dyDescent="0.2">
      <c r="A54" s="12" t="s">
        <v>97</v>
      </c>
      <c r="B54" s="13" t="s">
        <v>98</v>
      </c>
      <c r="C54" s="26">
        <v>0.90500000000000003</v>
      </c>
      <c r="D54" s="26">
        <v>0.77100000000000002</v>
      </c>
      <c r="E54" s="26">
        <v>0.65400000000000003</v>
      </c>
      <c r="F54" s="15" t="s">
        <v>32</v>
      </c>
    </row>
    <row r="55" spans="1:6" x14ac:dyDescent="0.2">
      <c r="A55" s="12" t="s">
        <v>99</v>
      </c>
      <c r="B55" s="13" t="s">
        <v>98</v>
      </c>
      <c r="C55" s="26">
        <v>0.9</v>
      </c>
      <c r="D55" s="26">
        <v>0.76800000000000002</v>
      </c>
      <c r="E55" s="26">
        <v>0.65100000000000002</v>
      </c>
      <c r="F55" s="15" t="s">
        <v>32</v>
      </c>
    </row>
  </sheetData>
  <mergeCells count="4">
    <mergeCell ref="A1:F1"/>
    <mergeCell ref="A2:F2"/>
    <mergeCell ref="A3:F3"/>
    <mergeCell ref="A53:F5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F138"/>
  <sheetViews>
    <sheetView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6640625" defaultRowHeight="15" x14ac:dyDescent="0.2"/>
  <cols>
    <col min="1" max="1" width="62" customWidth="1"/>
    <col min="2" max="2" width="8" customWidth="1"/>
    <col min="3" max="5" width="17" customWidth="1"/>
    <col min="6" max="6" width="62" customWidth="1"/>
  </cols>
  <sheetData>
    <row r="1" spans="1:6" ht="25.5" customHeight="1" x14ac:dyDescent="0.2">
      <c r="A1" s="5" t="s">
        <v>100</v>
      </c>
      <c r="B1" s="5"/>
      <c r="C1" s="5"/>
      <c r="D1" s="5"/>
      <c r="E1" s="5"/>
      <c r="F1" s="5"/>
    </row>
    <row r="2" spans="1:6" ht="15" customHeight="1" x14ac:dyDescent="0.2">
      <c r="A2" s="4" t="s">
        <v>101</v>
      </c>
      <c r="B2" s="4"/>
      <c r="C2" s="4"/>
      <c r="D2" s="4"/>
      <c r="E2" s="4"/>
      <c r="F2" s="4"/>
    </row>
    <row r="3" spans="1:6" ht="15" customHeight="1" x14ac:dyDescent="0.2">
      <c r="A3" s="3" t="s">
        <v>23</v>
      </c>
      <c r="B3" s="3"/>
      <c r="C3" s="3"/>
      <c r="D3" s="3"/>
      <c r="E3" s="3"/>
      <c r="F3" s="3"/>
    </row>
    <row r="5" spans="1:6" ht="27.75" customHeight="1" x14ac:dyDescent="0.2">
      <c r="A5" s="10" t="s">
        <v>24</v>
      </c>
      <c r="B5" s="11" t="s">
        <v>25</v>
      </c>
      <c r="C5" s="11" t="s">
        <v>26</v>
      </c>
      <c r="D5" s="11" t="s">
        <v>27</v>
      </c>
      <c r="E5" s="11" t="s">
        <v>28</v>
      </c>
      <c r="F5" s="11" t="s">
        <v>29</v>
      </c>
    </row>
    <row r="6" spans="1:6" ht="18" customHeight="1" x14ac:dyDescent="0.2">
      <c r="A6" s="2" t="s">
        <v>102</v>
      </c>
      <c r="B6" s="2"/>
      <c r="C6" s="2"/>
      <c r="D6" s="2"/>
      <c r="E6" s="2"/>
      <c r="F6" s="2"/>
    </row>
    <row r="7" spans="1:6" x14ac:dyDescent="0.2">
      <c r="A7" s="12" t="s">
        <v>103</v>
      </c>
      <c r="B7" s="13"/>
      <c r="C7" s="14">
        <v>152281000</v>
      </c>
      <c r="D7" s="14">
        <v>192208000</v>
      </c>
      <c r="E7" s="14">
        <v>220342000</v>
      </c>
      <c r="F7" s="15" t="s">
        <v>104</v>
      </c>
    </row>
    <row r="8" spans="1:6" x14ac:dyDescent="0.2">
      <c r="A8" s="12" t="s">
        <v>105</v>
      </c>
      <c r="B8" s="13"/>
      <c r="C8" s="14">
        <v>252318000</v>
      </c>
      <c r="D8" s="14">
        <v>230253000</v>
      </c>
      <c r="E8" s="14">
        <v>176921000</v>
      </c>
      <c r="F8" s="15" t="s">
        <v>104</v>
      </c>
    </row>
    <row r="9" spans="1:6" x14ac:dyDescent="0.2">
      <c r="A9" s="16" t="s">
        <v>106</v>
      </c>
      <c r="B9" s="13" t="s">
        <v>107</v>
      </c>
      <c r="C9" s="14">
        <v>58355000</v>
      </c>
      <c r="D9" s="14">
        <v>64100000</v>
      </c>
      <c r="E9" s="14">
        <v>56328000</v>
      </c>
      <c r="F9" s="15" t="s">
        <v>104</v>
      </c>
    </row>
    <row r="10" spans="1:6" x14ac:dyDescent="0.2">
      <c r="A10" s="16" t="s">
        <v>108</v>
      </c>
      <c r="B10" s="13" t="s">
        <v>109</v>
      </c>
      <c r="C10" s="14">
        <v>22030000</v>
      </c>
      <c r="D10" s="14">
        <v>16636000</v>
      </c>
      <c r="E10" s="14">
        <v>15057000</v>
      </c>
      <c r="F10" s="15" t="s">
        <v>104</v>
      </c>
    </row>
    <row r="11" spans="1:6" x14ac:dyDescent="0.2">
      <c r="A11" s="16" t="s">
        <v>110</v>
      </c>
      <c r="B11" s="13" t="s">
        <v>111</v>
      </c>
      <c r="C11" s="14">
        <v>98568000</v>
      </c>
      <c r="D11" s="14">
        <v>82646000</v>
      </c>
      <c r="E11" s="14">
        <v>62124000</v>
      </c>
      <c r="F11" s="15" t="s">
        <v>104</v>
      </c>
    </row>
    <row r="12" spans="1:6" x14ac:dyDescent="0.2">
      <c r="A12" s="16" t="s">
        <v>112</v>
      </c>
      <c r="B12" s="13"/>
      <c r="C12" s="14">
        <v>73365000</v>
      </c>
      <c r="D12" s="14">
        <v>66871000</v>
      </c>
      <c r="E12" s="14">
        <v>43412000</v>
      </c>
      <c r="F12" s="15" t="s">
        <v>104</v>
      </c>
    </row>
    <row r="13" spans="1:6" x14ac:dyDescent="0.2">
      <c r="A13" s="27" t="s">
        <v>113</v>
      </c>
      <c r="B13" s="13" t="s">
        <v>114</v>
      </c>
      <c r="C13" s="14">
        <v>14632000</v>
      </c>
      <c r="D13" s="14">
        <v>12966000</v>
      </c>
      <c r="E13" s="14">
        <v>17717000</v>
      </c>
      <c r="F13" s="15" t="s">
        <v>104</v>
      </c>
    </row>
    <row r="14" spans="1:6" x14ac:dyDescent="0.2">
      <c r="A14" s="27" t="s">
        <v>115</v>
      </c>
      <c r="B14" s="13" t="s">
        <v>114</v>
      </c>
      <c r="C14" s="14">
        <v>25967000</v>
      </c>
      <c r="D14" s="14">
        <v>27314000</v>
      </c>
      <c r="E14" s="14">
        <v>14061000</v>
      </c>
      <c r="F14" s="15" t="s">
        <v>104</v>
      </c>
    </row>
    <row r="15" spans="1:6" x14ac:dyDescent="0.2">
      <c r="A15" s="27" t="s">
        <v>116</v>
      </c>
      <c r="B15" s="13" t="s">
        <v>72</v>
      </c>
      <c r="C15" s="14">
        <v>32766000</v>
      </c>
      <c r="D15" s="14">
        <v>26591000</v>
      </c>
      <c r="E15" s="14">
        <v>11634000</v>
      </c>
      <c r="F15" s="15" t="s">
        <v>104</v>
      </c>
    </row>
    <row r="16" spans="1:6" x14ac:dyDescent="0.2">
      <c r="A16" s="12" t="s">
        <v>117</v>
      </c>
      <c r="B16" s="13"/>
      <c r="C16" s="14">
        <v>7761000</v>
      </c>
      <c r="D16" s="14">
        <v>6130000</v>
      </c>
      <c r="E16" s="14">
        <v>5910000</v>
      </c>
      <c r="F16" s="15" t="s">
        <v>104</v>
      </c>
    </row>
    <row r="17" spans="1:6" x14ac:dyDescent="0.2">
      <c r="A17" s="16" t="s">
        <v>108</v>
      </c>
      <c r="B17" s="13" t="s">
        <v>109</v>
      </c>
      <c r="C17" s="14">
        <v>5815000</v>
      </c>
      <c r="D17" s="14">
        <v>4641000</v>
      </c>
      <c r="E17" s="14">
        <v>4068000</v>
      </c>
      <c r="F17" s="15" t="s">
        <v>104</v>
      </c>
    </row>
    <row r="18" spans="1:6" x14ac:dyDescent="0.2">
      <c r="A18" s="16" t="s">
        <v>110</v>
      </c>
      <c r="B18" s="13" t="s">
        <v>111</v>
      </c>
      <c r="C18" s="14">
        <v>245000</v>
      </c>
      <c r="D18" s="14">
        <v>447000</v>
      </c>
      <c r="E18" s="14">
        <v>860000</v>
      </c>
      <c r="F18" s="15" t="s">
        <v>104</v>
      </c>
    </row>
    <row r="19" spans="1:6" x14ac:dyDescent="0.2">
      <c r="A19" s="16" t="s">
        <v>112</v>
      </c>
      <c r="B19" s="13"/>
      <c r="C19" s="14">
        <v>1701000</v>
      </c>
      <c r="D19" s="14">
        <v>1042000</v>
      </c>
      <c r="E19" s="14">
        <v>982000</v>
      </c>
      <c r="F19" s="15" t="s">
        <v>104</v>
      </c>
    </row>
    <row r="20" spans="1:6" x14ac:dyDescent="0.2">
      <c r="A20" s="27" t="s">
        <v>113</v>
      </c>
      <c r="B20" s="13" t="s">
        <v>114</v>
      </c>
      <c r="C20" s="14">
        <v>0</v>
      </c>
      <c r="D20" s="14">
        <v>0</v>
      </c>
      <c r="E20" s="14">
        <v>0</v>
      </c>
      <c r="F20" s="15" t="s">
        <v>104</v>
      </c>
    </row>
    <row r="21" spans="1:6" x14ac:dyDescent="0.2">
      <c r="A21" s="27" t="s">
        <v>115</v>
      </c>
      <c r="B21" s="13" t="s">
        <v>114</v>
      </c>
      <c r="C21" s="14">
        <v>0</v>
      </c>
      <c r="D21" s="14">
        <v>0</v>
      </c>
      <c r="E21" s="14">
        <v>0</v>
      </c>
      <c r="F21" s="15" t="s">
        <v>104</v>
      </c>
    </row>
    <row r="22" spans="1:6" x14ac:dyDescent="0.2">
      <c r="A22" s="27" t="s">
        <v>116</v>
      </c>
      <c r="B22" s="13" t="s">
        <v>72</v>
      </c>
      <c r="C22" s="14">
        <v>1701000</v>
      </c>
      <c r="D22" s="14">
        <v>1042000</v>
      </c>
      <c r="E22" s="14">
        <v>982000</v>
      </c>
      <c r="F22" s="15" t="s">
        <v>104</v>
      </c>
    </row>
    <row r="23" spans="1:6" x14ac:dyDescent="0.2">
      <c r="A23" s="12" t="s">
        <v>118</v>
      </c>
      <c r="B23" s="13"/>
      <c r="C23" s="14">
        <v>8046000</v>
      </c>
      <c r="D23" s="14">
        <v>7915000</v>
      </c>
      <c r="E23" s="14">
        <v>9773000</v>
      </c>
      <c r="F23" s="15" t="s">
        <v>104</v>
      </c>
    </row>
    <row r="24" spans="1:6" x14ac:dyDescent="0.2">
      <c r="A24" s="16" t="s">
        <v>110</v>
      </c>
      <c r="B24" s="13" t="s">
        <v>111</v>
      </c>
      <c r="C24" s="14">
        <v>2894000</v>
      </c>
      <c r="D24" s="14">
        <v>2897000</v>
      </c>
      <c r="E24" s="14">
        <v>3095000</v>
      </c>
      <c r="F24" s="15" t="s">
        <v>104</v>
      </c>
    </row>
    <row r="25" spans="1:6" x14ac:dyDescent="0.2">
      <c r="A25" s="16" t="s">
        <v>112</v>
      </c>
      <c r="B25" s="13"/>
      <c r="C25" s="14">
        <v>5152000</v>
      </c>
      <c r="D25" s="14">
        <v>5018000</v>
      </c>
      <c r="E25" s="14">
        <v>6678000</v>
      </c>
      <c r="F25" s="15" t="s">
        <v>104</v>
      </c>
    </row>
    <row r="26" spans="1:6" x14ac:dyDescent="0.2">
      <c r="A26" s="27" t="s">
        <v>113</v>
      </c>
      <c r="B26" s="13" t="s">
        <v>114</v>
      </c>
      <c r="C26" s="14">
        <v>0</v>
      </c>
      <c r="D26" s="14">
        <v>0</v>
      </c>
      <c r="E26" s="14">
        <v>0</v>
      </c>
      <c r="F26" s="15" t="s">
        <v>104</v>
      </c>
    </row>
    <row r="27" spans="1:6" x14ac:dyDescent="0.2">
      <c r="A27" s="27" t="s">
        <v>115</v>
      </c>
      <c r="B27" s="13" t="s">
        <v>114</v>
      </c>
      <c r="C27" s="14">
        <v>413000</v>
      </c>
      <c r="D27" s="14">
        <v>408000</v>
      </c>
      <c r="E27" s="14">
        <v>459000</v>
      </c>
      <c r="F27" s="15" t="s">
        <v>104</v>
      </c>
    </row>
    <row r="28" spans="1:6" x14ac:dyDescent="0.2">
      <c r="A28" s="27" t="s">
        <v>116</v>
      </c>
      <c r="B28" s="13" t="s">
        <v>72</v>
      </c>
      <c r="C28" s="14">
        <v>4739000</v>
      </c>
      <c r="D28" s="14">
        <v>4610000</v>
      </c>
      <c r="E28" s="14">
        <v>6219000</v>
      </c>
      <c r="F28" s="15" t="s">
        <v>104</v>
      </c>
    </row>
    <row r="29" spans="1:6" x14ac:dyDescent="0.2">
      <c r="A29" s="12" t="s">
        <v>33</v>
      </c>
      <c r="B29" s="13"/>
      <c r="C29" s="14">
        <v>74612000</v>
      </c>
      <c r="D29" s="14">
        <v>89898000</v>
      </c>
      <c r="E29" s="14">
        <v>83308000</v>
      </c>
      <c r="F29" s="15" t="s">
        <v>104</v>
      </c>
    </row>
    <row r="30" spans="1:6" x14ac:dyDescent="0.2">
      <c r="A30" s="16" t="s">
        <v>108</v>
      </c>
      <c r="B30" s="13" t="s">
        <v>109</v>
      </c>
      <c r="C30" s="14">
        <v>2281000</v>
      </c>
      <c r="D30" s="14">
        <v>2193000</v>
      </c>
      <c r="E30" s="14">
        <v>1761000</v>
      </c>
      <c r="F30" s="15" t="s">
        <v>104</v>
      </c>
    </row>
    <row r="31" spans="1:6" x14ac:dyDescent="0.2">
      <c r="A31" s="16" t="s">
        <v>110</v>
      </c>
      <c r="B31" s="13" t="s">
        <v>111</v>
      </c>
      <c r="C31" s="14">
        <v>58305000</v>
      </c>
      <c r="D31" s="14">
        <v>76558000</v>
      </c>
      <c r="E31" s="14">
        <v>73565000</v>
      </c>
      <c r="F31" s="15" t="s">
        <v>104</v>
      </c>
    </row>
    <row r="32" spans="1:6" x14ac:dyDescent="0.2">
      <c r="A32" s="16" t="s">
        <v>112</v>
      </c>
      <c r="B32" s="13"/>
      <c r="C32" s="14">
        <v>14026000</v>
      </c>
      <c r="D32" s="14">
        <v>11147000</v>
      </c>
      <c r="E32" s="14">
        <v>7982000</v>
      </c>
      <c r="F32" s="15" t="s">
        <v>104</v>
      </c>
    </row>
    <row r="33" spans="1:6" x14ac:dyDescent="0.2">
      <c r="A33" s="27" t="s">
        <v>113</v>
      </c>
      <c r="B33" s="13" t="s">
        <v>114</v>
      </c>
      <c r="C33" s="14">
        <v>0</v>
      </c>
      <c r="D33" s="14">
        <v>0</v>
      </c>
      <c r="E33" s="14">
        <v>0</v>
      </c>
      <c r="F33" s="15" t="s">
        <v>104</v>
      </c>
    </row>
    <row r="34" spans="1:6" x14ac:dyDescent="0.2">
      <c r="A34" s="27" t="s">
        <v>115</v>
      </c>
      <c r="B34" s="13" t="s">
        <v>114</v>
      </c>
      <c r="C34" s="14">
        <v>1120000</v>
      </c>
      <c r="D34" s="14">
        <v>363000</v>
      </c>
      <c r="E34" s="14">
        <v>313000</v>
      </c>
      <c r="F34" s="15" t="s">
        <v>104</v>
      </c>
    </row>
    <row r="35" spans="1:6" x14ac:dyDescent="0.2">
      <c r="A35" s="27" t="s">
        <v>116</v>
      </c>
      <c r="B35" s="13" t="s">
        <v>72</v>
      </c>
      <c r="C35" s="14">
        <v>12906000</v>
      </c>
      <c r="D35" s="14">
        <v>10784000</v>
      </c>
      <c r="E35" s="14">
        <v>7669000</v>
      </c>
      <c r="F35" s="15" t="s">
        <v>104</v>
      </c>
    </row>
    <row r="36" spans="1:6" x14ac:dyDescent="0.2">
      <c r="A36" s="12" t="s">
        <v>34</v>
      </c>
      <c r="B36" s="13"/>
      <c r="C36" s="14">
        <v>1202689000</v>
      </c>
      <c r="D36" s="14">
        <v>1203707000</v>
      </c>
      <c r="E36" s="14">
        <v>1191403000</v>
      </c>
      <c r="F36" s="15" t="s">
        <v>104</v>
      </c>
    </row>
    <row r="37" spans="1:6" x14ac:dyDescent="0.2">
      <c r="A37" s="16" t="s">
        <v>110</v>
      </c>
      <c r="B37" s="13" t="s">
        <v>111</v>
      </c>
      <c r="C37" s="14">
        <v>140014000</v>
      </c>
      <c r="D37" s="14">
        <v>120949000</v>
      </c>
      <c r="E37" s="14">
        <v>103559000</v>
      </c>
      <c r="F37" s="15" t="s">
        <v>104</v>
      </c>
    </row>
    <row r="38" spans="1:6" x14ac:dyDescent="0.2">
      <c r="A38" s="16" t="s">
        <v>112</v>
      </c>
      <c r="B38" s="13"/>
      <c r="C38" s="14">
        <v>1062675000</v>
      </c>
      <c r="D38" s="14">
        <v>1082758000</v>
      </c>
      <c r="E38" s="14">
        <v>1087844000</v>
      </c>
      <c r="F38" s="15" t="s">
        <v>104</v>
      </c>
    </row>
    <row r="39" spans="1:6" x14ac:dyDescent="0.2">
      <c r="A39" s="27" t="s">
        <v>113</v>
      </c>
      <c r="B39" s="13" t="s">
        <v>114</v>
      </c>
      <c r="C39" s="14">
        <v>15986000</v>
      </c>
      <c r="D39" s="14">
        <v>16179000</v>
      </c>
      <c r="E39" s="14">
        <v>20082000</v>
      </c>
      <c r="F39" s="15" t="s">
        <v>104</v>
      </c>
    </row>
    <row r="40" spans="1:6" x14ac:dyDescent="0.2">
      <c r="A40" s="27" t="s">
        <v>115</v>
      </c>
      <c r="B40" s="13" t="s">
        <v>114</v>
      </c>
      <c r="C40" s="14">
        <v>61513000</v>
      </c>
      <c r="D40" s="14">
        <v>55537000</v>
      </c>
      <c r="E40" s="14">
        <v>57917000</v>
      </c>
      <c r="F40" s="15" t="s">
        <v>104</v>
      </c>
    </row>
    <row r="41" spans="1:6" x14ac:dyDescent="0.2">
      <c r="A41" s="27" t="s">
        <v>116</v>
      </c>
      <c r="B41" s="13" t="s">
        <v>72</v>
      </c>
      <c r="C41" s="14">
        <v>985176000</v>
      </c>
      <c r="D41" s="14">
        <v>1011042000</v>
      </c>
      <c r="E41" s="14">
        <v>1009845000</v>
      </c>
      <c r="F41" s="15" t="s">
        <v>104</v>
      </c>
    </row>
    <row r="42" spans="1:6" x14ac:dyDescent="0.2">
      <c r="A42" s="12" t="s">
        <v>119</v>
      </c>
      <c r="B42" s="13" t="s">
        <v>120</v>
      </c>
      <c r="C42" s="14">
        <v>3931000</v>
      </c>
      <c r="D42" s="14">
        <v>5672000</v>
      </c>
      <c r="E42" s="14">
        <v>5297000</v>
      </c>
      <c r="F42" s="15" t="s">
        <v>104</v>
      </c>
    </row>
    <row r="43" spans="1:6" x14ac:dyDescent="0.2">
      <c r="A43" s="12" t="s">
        <v>121</v>
      </c>
      <c r="B43" s="13" t="s">
        <v>122</v>
      </c>
      <c r="C43" s="14">
        <v>50000</v>
      </c>
      <c r="D43" s="14">
        <v>-704000</v>
      </c>
      <c r="E43" s="14">
        <v>-788000</v>
      </c>
      <c r="F43" s="15" t="s">
        <v>104</v>
      </c>
    </row>
    <row r="44" spans="1:6" x14ac:dyDescent="0.2">
      <c r="A44" s="12" t="s">
        <v>123</v>
      </c>
      <c r="B44" s="13" t="s">
        <v>42</v>
      </c>
      <c r="C44" s="14">
        <v>7052000</v>
      </c>
      <c r="D44" s="14">
        <v>7277000</v>
      </c>
      <c r="E44" s="14">
        <v>7646000</v>
      </c>
      <c r="F44" s="15" t="s">
        <v>104</v>
      </c>
    </row>
    <row r="45" spans="1:6" x14ac:dyDescent="0.2">
      <c r="A45" s="16" t="s">
        <v>124</v>
      </c>
      <c r="B45" s="13"/>
      <c r="C45" s="14">
        <v>1956000</v>
      </c>
      <c r="D45" s="14">
        <v>2061000</v>
      </c>
      <c r="E45" s="14">
        <v>1964000</v>
      </c>
      <c r="F45" s="15" t="s">
        <v>104</v>
      </c>
    </row>
    <row r="46" spans="1:6" x14ac:dyDescent="0.2">
      <c r="A46" s="16" t="s">
        <v>125</v>
      </c>
      <c r="B46" s="13"/>
      <c r="C46" s="14">
        <v>5096000</v>
      </c>
      <c r="D46" s="14">
        <v>5216000</v>
      </c>
      <c r="E46" s="14">
        <v>5682000</v>
      </c>
      <c r="F46" s="15" t="s">
        <v>104</v>
      </c>
    </row>
    <row r="47" spans="1:6" x14ac:dyDescent="0.2">
      <c r="A47" s="12" t="s">
        <v>126</v>
      </c>
      <c r="B47" s="13"/>
      <c r="C47" s="14">
        <v>223000</v>
      </c>
      <c r="D47" s="14">
        <v>222000</v>
      </c>
      <c r="E47" s="14">
        <v>237000</v>
      </c>
      <c r="F47" s="15" t="s">
        <v>104</v>
      </c>
    </row>
    <row r="48" spans="1:6" x14ac:dyDescent="0.2">
      <c r="A48" s="12" t="s">
        <v>76</v>
      </c>
      <c r="B48" s="13"/>
      <c r="C48" s="14">
        <v>27438000</v>
      </c>
      <c r="D48" s="14">
        <v>32087000</v>
      </c>
      <c r="E48" s="14">
        <v>33882000</v>
      </c>
      <c r="F48" s="15" t="s">
        <v>104</v>
      </c>
    </row>
    <row r="49" spans="1:6" x14ac:dyDescent="0.2">
      <c r="A49" s="16" t="s">
        <v>127</v>
      </c>
      <c r="B49" s="13" t="s">
        <v>77</v>
      </c>
      <c r="C49" s="14">
        <v>26416000</v>
      </c>
      <c r="D49" s="14">
        <v>31212000</v>
      </c>
      <c r="E49" s="14">
        <v>32926000</v>
      </c>
      <c r="F49" s="15" t="s">
        <v>104</v>
      </c>
    </row>
    <row r="50" spans="1:6" x14ac:dyDescent="0.2">
      <c r="A50" s="27" t="s">
        <v>128</v>
      </c>
      <c r="B50" s="13"/>
      <c r="C50" s="14">
        <v>11663000</v>
      </c>
      <c r="D50" s="14">
        <v>12636000</v>
      </c>
      <c r="E50" s="14">
        <v>13408000</v>
      </c>
      <c r="F50" s="15" t="s">
        <v>104</v>
      </c>
    </row>
    <row r="51" spans="1:6" x14ac:dyDescent="0.2">
      <c r="A51" s="27" t="s">
        <v>129</v>
      </c>
      <c r="B51" s="13"/>
      <c r="C51" s="14">
        <v>14753000</v>
      </c>
      <c r="D51" s="14">
        <v>18576000</v>
      </c>
      <c r="E51" s="14">
        <v>19518000</v>
      </c>
      <c r="F51" s="15" t="s">
        <v>104</v>
      </c>
    </row>
    <row r="52" spans="1:6" x14ac:dyDescent="0.2">
      <c r="A52" s="16" t="s">
        <v>130</v>
      </c>
      <c r="B52" s="13" t="s">
        <v>77</v>
      </c>
      <c r="C52" s="14">
        <v>1022000</v>
      </c>
      <c r="D52" s="14">
        <v>875000</v>
      </c>
      <c r="E52" s="14">
        <v>956000</v>
      </c>
      <c r="F52" s="15" t="s">
        <v>104</v>
      </c>
    </row>
    <row r="53" spans="1:6" x14ac:dyDescent="0.2">
      <c r="A53" s="28" t="s">
        <v>131</v>
      </c>
      <c r="B53" s="29"/>
      <c r="C53" s="30">
        <v>860000</v>
      </c>
      <c r="D53" s="30">
        <v>749000</v>
      </c>
      <c r="E53" s="30">
        <v>851000</v>
      </c>
      <c r="F53" s="31" t="s">
        <v>104</v>
      </c>
    </row>
    <row r="54" spans="1:6" x14ac:dyDescent="0.2">
      <c r="A54" s="12" t="s">
        <v>78</v>
      </c>
      <c r="B54" s="13"/>
      <c r="C54" s="14">
        <v>17308000</v>
      </c>
      <c r="D54" s="14">
        <v>19259000</v>
      </c>
      <c r="E54" s="14">
        <v>19871000</v>
      </c>
      <c r="F54" s="15" t="s">
        <v>104</v>
      </c>
    </row>
    <row r="55" spans="1:6" x14ac:dyDescent="0.2">
      <c r="A55" s="16" t="s">
        <v>132</v>
      </c>
      <c r="B55" s="13" t="s">
        <v>133</v>
      </c>
      <c r="C55" s="14">
        <v>11958000</v>
      </c>
      <c r="D55" s="14">
        <v>13438000</v>
      </c>
      <c r="E55" s="14">
        <v>14017000</v>
      </c>
      <c r="F55" s="15" t="s">
        <v>104</v>
      </c>
    </row>
    <row r="56" spans="1:6" x14ac:dyDescent="0.2">
      <c r="A56" s="16" t="s">
        <v>134</v>
      </c>
      <c r="B56" s="13" t="s">
        <v>135</v>
      </c>
      <c r="C56" s="14">
        <v>5350000</v>
      </c>
      <c r="D56" s="14">
        <v>5821000</v>
      </c>
      <c r="E56" s="14">
        <v>5854000</v>
      </c>
      <c r="F56" s="15" t="s">
        <v>104</v>
      </c>
    </row>
    <row r="57" spans="1:6" x14ac:dyDescent="0.2">
      <c r="A57" s="12" t="s">
        <v>136</v>
      </c>
      <c r="B57" s="13"/>
      <c r="C57" s="14">
        <v>30076000</v>
      </c>
      <c r="D57" s="14">
        <v>30596000</v>
      </c>
      <c r="E57" s="14">
        <v>31390000</v>
      </c>
      <c r="F57" s="15" t="s">
        <v>104</v>
      </c>
    </row>
    <row r="58" spans="1:6" x14ac:dyDescent="0.2">
      <c r="A58" s="16" t="s">
        <v>137</v>
      </c>
      <c r="B58" s="13"/>
      <c r="C58" s="14">
        <v>11132000</v>
      </c>
      <c r="D58" s="14">
        <v>11426000</v>
      </c>
      <c r="E58" s="14">
        <v>10623000</v>
      </c>
      <c r="F58" s="15" t="s">
        <v>104</v>
      </c>
    </row>
    <row r="59" spans="1:6" x14ac:dyDescent="0.2">
      <c r="A59" s="16" t="s">
        <v>138</v>
      </c>
      <c r="B59" s="13" t="s">
        <v>88</v>
      </c>
      <c r="C59" s="14">
        <v>18944000</v>
      </c>
      <c r="D59" s="14">
        <v>19170000</v>
      </c>
      <c r="E59" s="14">
        <v>20767000</v>
      </c>
      <c r="F59" s="15" t="s">
        <v>104</v>
      </c>
    </row>
    <row r="60" spans="1:6" x14ac:dyDescent="0.2">
      <c r="A60" s="12" t="s">
        <v>139</v>
      </c>
      <c r="B60" s="13"/>
      <c r="C60" s="14">
        <v>8719000</v>
      </c>
      <c r="D60" s="14">
        <v>8559000</v>
      </c>
      <c r="E60" s="14">
        <v>8856000</v>
      </c>
      <c r="F60" s="15" t="s">
        <v>104</v>
      </c>
    </row>
    <row r="61" spans="1:6" x14ac:dyDescent="0.2">
      <c r="A61" s="16" t="s">
        <v>140</v>
      </c>
      <c r="B61" s="13" t="s">
        <v>141</v>
      </c>
      <c r="C61" s="14">
        <v>67000</v>
      </c>
      <c r="D61" s="14">
        <v>81000</v>
      </c>
      <c r="E61" s="14">
        <v>93000</v>
      </c>
      <c r="F61" s="15" t="s">
        <v>104</v>
      </c>
    </row>
    <row r="62" spans="1:6" x14ac:dyDescent="0.2">
      <c r="A62" s="16" t="s">
        <v>142</v>
      </c>
      <c r="B62" s="13"/>
      <c r="C62" s="14">
        <v>7000</v>
      </c>
      <c r="D62" s="14">
        <v>6000</v>
      </c>
      <c r="E62" s="14">
        <v>7000</v>
      </c>
      <c r="F62" s="15" t="s">
        <v>104</v>
      </c>
    </row>
    <row r="63" spans="1:6" x14ac:dyDescent="0.2">
      <c r="A63" s="16" t="s">
        <v>143</v>
      </c>
      <c r="B63" s="13" t="s">
        <v>144</v>
      </c>
      <c r="C63" s="14">
        <v>8645000</v>
      </c>
      <c r="D63" s="14">
        <v>8472000</v>
      </c>
      <c r="E63" s="14">
        <v>8756000</v>
      </c>
      <c r="F63" s="15" t="s">
        <v>104</v>
      </c>
    </row>
    <row r="64" spans="1:6" x14ac:dyDescent="0.2">
      <c r="A64" s="12" t="s">
        <v>145</v>
      </c>
      <c r="B64" s="13" t="s">
        <v>146</v>
      </c>
      <c r="C64" s="14">
        <v>75011000</v>
      </c>
      <c r="D64" s="14">
        <v>4002000</v>
      </c>
      <c r="E64" s="14">
        <v>3014000</v>
      </c>
      <c r="F64" s="15" t="s">
        <v>104</v>
      </c>
    </row>
    <row r="65" spans="1:6" x14ac:dyDescent="0.2">
      <c r="A65" s="32" t="s">
        <v>147</v>
      </c>
      <c r="B65" s="32"/>
      <c r="C65" s="23">
        <f>SUM(C7,C8,C16,C23,C29,C36,C42,C43,C44,C47,C48,C54,C57,C60,C64)</f>
        <v>1867515000</v>
      </c>
      <c r="D65" s="23">
        <f>SUM(D7,D8,D16,D23,D29,D36,D42,D43,D44,D47,D48,D54,D57,D60,D64)</f>
        <v>1837081000</v>
      </c>
      <c r="E65" s="23">
        <f>SUM(E7,E8,E16,E23,E29,E36,E42,E43,E44,E47,E48,E54,E57,E60,E64)</f>
        <v>1797062000</v>
      </c>
      <c r="F65" s="33" t="s">
        <v>148</v>
      </c>
    </row>
    <row r="66" spans="1:6" x14ac:dyDescent="0.2">
      <c r="A66" s="34" t="s">
        <v>149</v>
      </c>
      <c r="B66" s="29"/>
      <c r="C66" s="30">
        <v>1867515000</v>
      </c>
      <c r="D66" s="30">
        <v>1837081000</v>
      </c>
      <c r="E66" s="30">
        <v>1797062000</v>
      </c>
      <c r="F66" s="31" t="s">
        <v>104</v>
      </c>
    </row>
    <row r="67" spans="1:6" x14ac:dyDescent="0.2">
      <c r="A67" s="35" t="s">
        <v>150</v>
      </c>
      <c r="B67" s="13"/>
      <c r="C67" s="36">
        <f>C65-C66</f>
        <v>0</v>
      </c>
      <c r="D67" s="36">
        <f>D65-D66</f>
        <v>0</v>
      </c>
      <c r="E67" s="36">
        <f>E65-E66</f>
        <v>0</v>
      </c>
      <c r="F67" s="15"/>
    </row>
    <row r="69" spans="1:6" ht="18" customHeight="1" x14ac:dyDescent="0.2">
      <c r="A69" s="2" t="s">
        <v>151</v>
      </c>
      <c r="B69" s="2"/>
      <c r="C69" s="2"/>
      <c r="D69" s="2"/>
      <c r="E69" s="2"/>
      <c r="F69" s="2"/>
    </row>
    <row r="70" spans="1:6" x14ac:dyDescent="0.2">
      <c r="A70" s="12" t="s">
        <v>152</v>
      </c>
      <c r="B70" s="13"/>
      <c r="C70" s="14">
        <v>171546000</v>
      </c>
      <c r="D70" s="14">
        <v>152151000</v>
      </c>
      <c r="E70" s="14">
        <v>122270000</v>
      </c>
      <c r="F70" s="15" t="s">
        <v>153</v>
      </c>
    </row>
    <row r="71" spans="1:6" x14ac:dyDescent="0.2">
      <c r="A71" s="16" t="s">
        <v>106</v>
      </c>
      <c r="B71" s="13" t="s">
        <v>107</v>
      </c>
      <c r="C71" s="14">
        <v>51968000</v>
      </c>
      <c r="D71" s="14">
        <v>57753000</v>
      </c>
      <c r="E71" s="14">
        <v>50589000</v>
      </c>
      <c r="F71" s="15" t="s">
        <v>153</v>
      </c>
    </row>
    <row r="72" spans="1:6" x14ac:dyDescent="0.2">
      <c r="A72" s="16" t="s">
        <v>154</v>
      </c>
      <c r="B72" s="13" t="s">
        <v>155</v>
      </c>
      <c r="C72" s="14">
        <v>44015000</v>
      </c>
      <c r="D72" s="14">
        <v>35830000</v>
      </c>
      <c r="E72" s="14">
        <v>26174000</v>
      </c>
      <c r="F72" s="15" t="s">
        <v>153</v>
      </c>
    </row>
    <row r="73" spans="1:6" x14ac:dyDescent="0.2">
      <c r="A73" s="16" t="s">
        <v>156</v>
      </c>
      <c r="B73" s="13"/>
      <c r="C73" s="14">
        <v>75563000</v>
      </c>
      <c r="D73" s="14">
        <v>58568000</v>
      </c>
      <c r="E73" s="14">
        <v>45507000</v>
      </c>
      <c r="F73" s="15" t="s">
        <v>153</v>
      </c>
    </row>
    <row r="74" spans="1:6" x14ac:dyDescent="0.2">
      <c r="A74" s="27" t="s">
        <v>113</v>
      </c>
      <c r="B74" s="13" t="s">
        <v>157</v>
      </c>
      <c r="C74" s="14">
        <v>12385000</v>
      </c>
      <c r="D74" s="14">
        <v>13300000</v>
      </c>
      <c r="E74" s="14">
        <v>7808000</v>
      </c>
      <c r="F74" s="15" t="s">
        <v>153</v>
      </c>
    </row>
    <row r="75" spans="1:6" x14ac:dyDescent="0.2">
      <c r="A75" s="27" t="s">
        <v>115</v>
      </c>
      <c r="B75" s="13" t="s">
        <v>157</v>
      </c>
      <c r="C75" s="14">
        <v>27058000</v>
      </c>
      <c r="D75" s="14">
        <v>26284000</v>
      </c>
      <c r="E75" s="14">
        <v>17862000</v>
      </c>
      <c r="F75" s="15" t="s">
        <v>153</v>
      </c>
    </row>
    <row r="76" spans="1:6" x14ac:dyDescent="0.2">
      <c r="A76" s="27" t="s">
        <v>116</v>
      </c>
      <c r="B76" s="13" t="s">
        <v>158</v>
      </c>
      <c r="C76" s="14">
        <v>36120000</v>
      </c>
      <c r="D76" s="14">
        <v>18984000</v>
      </c>
      <c r="E76" s="14">
        <v>19837000</v>
      </c>
      <c r="F76" s="15" t="s">
        <v>153</v>
      </c>
    </row>
    <row r="77" spans="1:6" x14ac:dyDescent="0.2">
      <c r="A77" s="16" t="s">
        <v>159</v>
      </c>
      <c r="B77" s="13" t="s">
        <v>160</v>
      </c>
      <c r="C77" s="14">
        <v>0</v>
      </c>
      <c r="D77" s="14">
        <v>0</v>
      </c>
      <c r="E77" s="14">
        <v>0</v>
      </c>
      <c r="F77" s="15" t="s">
        <v>153</v>
      </c>
    </row>
    <row r="78" spans="1:6" x14ac:dyDescent="0.2">
      <c r="A78" s="16" t="s">
        <v>161</v>
      </c>
      <c r="B78" s="13" t="s">
        <v>162</v>
      </c>
      <c r="C78" s="14">
        <v>0</v>
      </c>
      <c r="D78" s="14">
        <v>0</v>
      </c>
      <c r="E78" s="14">
        <v>0</v>
      </c>
      <c r="F78" s="15" t="s">
        <v>153</v>
      </c>
    </row>
    <row r="79" spans="1:6" x14ac:dyDescent="0.2">
      <c r="A79" s="12" t="s">
        <v>163</v>
      </c>
      <c r="B79" s="13"/>
      <c r="C79" s="14">
        <v>42148000</v>
      </c>
      <c r="D79" s="14">
        <v>36360000</v>
      </c>
      <c r="E79" s="14">
        <v>40367000</v>
      </c>
      <c r="F79" s="15" t="s">
        <v>153</v>
      </c>
    </row>
    <row r="80" spans="1:6" x14ac:dyDescent="0.2">
      <c r="A80" s="16" t="s">
        <v>156</v>
      </c>
      <c r="B80" s="13"/>
      <c r="C80" s="14">
        <v>30440000</v>
      </c>
      <c r="D80" s="14">
        <v>28806000</v>
      </c>
      <c r="E80" s="14">
        <v>34996000</v>
      </c>
      <c r="F80" s="15" t="s">
        <v>153</v>
      </c>
    </row>
    <row r="81" spans="1:6" x14ac:dyDescent="0.2">
      <c r="A81" s="27" t="s">
        <v>113</v>
      </c>
      <c r="B81" s="13" t="s">
        <v>157</v>
      </c>
      <c r="C81" s="14">
        <v>3086000</v>
      </c>
      <c r="D81" s="14">
        <v>1774000</v>
      </c>
      <c r="E81" s="14">
        <v>1209000</v>
      </c>
      <c r="F81" s="15" t="s">
        <v>153</v>
      </c>
    </row>
    <row r="82" spans="1:6" x14ac:dyDescent="0.2">
      <c r="A82" s="27" t="s">
        <v>115</v>
      </c>
      <c r="B82" s="13" t="s">
        <v>157</v>
      </c>
      <c r="C82" s="14">
        <v>1424000</v>
      </c>
      <c r="D82" s="14">
        <v>1625000</v>
      </c>
      <c r="E82" s="14">
        <v>1735000</v>
      </c>
      <c r="F82" s="15" t="s">
        <v>153</v>
      </c>
    </row>
    <row r="83" spans="1:6" x14ac:dyDescent="0.2">
      <c r="A83" s="27" t="s">
        <v>116</v>
      </c>
      <c r="B83" s="13" t="s">
        <v>158</v>
      </c>
      <c r="C83" s="14">
        <v>25930000</v>
      </c>
      <c r="D83" s="14">
        <v>25407000</v>
      </c>
      <c r="E83" s="14">
        <v>32052000</v>
      </c>
      <c r="F83" s="15" t="s">
        <v>153</v>
      </c>
    </row>
    <row r="84" spans="1:6" x14ac:dyDescent="0.2">
      <c r="A84" s="16" t="s">
        <v>159</v>
      </c>
      <c r="B84" s="13" t="s">
        <v>160</v>
      </c>
      <c r="C84" s="14">
        <v>11686000</v>
      </c>
      <c r="D84" s="14">
        <v>7554000</v>
      </c>
      <c r="E84" s="14">
        <v>5371000</v>
      </c>
      <c r="F84" s="15" t="s">
        <v>153</v>
      </c>
    </row>
    <row r="85" spans="1:6" x14ac:dyDescent="0.2">
      <c r="A85" s="16" t="s">
        <v>161</v>
      </c>
      <c r="B85" s="13" t="s">
        <v>162</v>
      </c>
      <c r="C85" s="14">
        <v>22000</v>
      </c>
      <c r="D85" s="14">
        <v>0</v>
      </c>
      <c r="E85" s="14">
        <v>0</v>
      </c>
      <c r="F85" s="15" t="s">
        <v>153</v>
      </c>
    </row>
    <row r="86" spans="1:6" x14ac:dyDescent="0.2">
      <c r="A86" s="34" t="s">
        <v>164</v>
      </c>
      <c r="B86" s="29" t="s">
        <v>165</v>
      </c>
      <c r="C86" s="30">
        <v>0</v>
      </c>
      <c r="D86" s="30">
        <v>0</v>
      </c>
      <c r="E86" s="30">
        <v>0</v>
      </c>
      <c r="F86" s="31" t="s">
        <v>153</v>
      </c>
    </row>
    <row r="87" spans="1:6" x14ac:dyDescent="0.2">
      <c r="A87" s="12" t="s">
        <v>166</v>
      </c>
      <c r="B87" s="13"/>
      <c r="C87" s="14">
        <v>1421184000</v>
      </c>
      <c r="D87" s="14">
        <v>1484322000</v>
      </c>
      <c r="E87" s="14">
        <v>1468703000</v>
      </c>
      <c r="F87" s="15" t="s">
        <v>153</v>
      </c>
    </row>
    <row r="88" spans="1:6" x14ac:dyDescent="0.2">
      <c r="A88" s="16" t="s">
        <v>156</v>
      </c>
      <c r="B88" s="13"/>
      <c r="C88" s="14">
        <v>1072384000</v>
      </c>
      <c r="D88" s="14">
        <v>1126439000</v>
      </c>
      <c r="E88" s="14">
        <v>1125308000</v>
      </c>
      <c r="F88" s="15" t="s">
        <v>153</v>
      </c>
    </row>
    <row r="89" spans="1:6" x14ac:dyDescent="0.2">
      <c r="A89" s="27" t="s">
        <v>113</v>
      </c>
      <c r="B89" s="13" t="s">
        <v>157</v>
      </c>
      <c r="C89" s="14">
        <v>18542000</v>
      </c>
      <c r="D89" s="14">
        <v>24882000</v>
      </c>
      <c r="E89" s="14">
        <v>48782000</v>
      </c>
      <c r="F89" s="15" t="s">
        <v>153</v>
      </c>
    </row>
    <row r="90" spans="1:6" x14ac:dyDescent="0.2">
      <c r="A90" s="27" t="s">
        <v>115</v>
      </c>
      <c r="B90" s="13" t="s">
        <v>157</v>
      </c>
      <c r="C90" s="14">
        <v>74692000</v>
      </c>
      <c r="D90" s="14">
        <v>90012000</v>
      </c>
      <c r="E90" s="14">
        <v>81246000</v>
      </c>
      <c r="F90" s="15" t="s">
        <v>153</v>
      </c>
    </row>
    <row r="91" spans="1:6" x14ac:dyDescent="0.2">
      <c r="A91" s="27" t="s">
        <v>116</v>
      </c>
      <c r="B91" s="13" t="s">
        <v>158</v>
      </c>
      <c r="C91" s="14">
        <v>979150000</v>
      </c>
      <c r="D91" s="14">
        <v>1011545000</v>
      </c>
      <c r="E91" s="14">
        <v>995280000</v>
      </c>
      <c r="F91" s="15" t="s">
        <v>153</v>
      </c>
    </row>
    <row r="92" spans="1:6" x14ac:dyDescent="0.2">
      <c r="A92" s="16" t="s">
        <v>159</v>
      </c>
      <c r="B92" s="13" t="s">
        <v>160</v>
      </c>
      <c r="C92" s="14">
        <v>312704000</v>
      </c>
      <c r="D92" s="14">
        <v>317967000</v>
      </c>
      <c r="E92" s="14">
        <v>303208000</v>
      </c>
      <c r="F92" s="15" t="s">
        <v>153</v>
      </c>
    </row>
    <row r="93" spans="1:6" x14ac:dyDescent="0.2">
      <c r="A93" s="16" t="s">
        <v>161</v>
      </c>
      <c r="B93" s="13" t="s">
        <v>162</v>
      </c>
      <c r="C93" s="14">
        <v>36096000</v>
      </c>
      <c r="D93" s="14">
        <v>39916000</v>
      </c>
      <c r="E93" s="14">
        <v>40187000</v>
      </c>
      <c r="F93" s="15" t="s">
        <v>153</v>
      </c>
    </row>
    <row r="94" spans="1:6" x14ac:dyDescent="0.2">
      <c r="A94" s="34" t="s">
        <v>164</v>
      </c>
      <c r="B94" s="29" t="s">
        <v>165</v>
      </c>
      <c r="C94" s="30">
        <v>29287000</v>
      </c>
      <c r="D94" s="30">
        <v>35813000</v>
      </c>
      <c r="E94" s="30">
        <v>30912000</v>
      </c>
      <c r="F94" s="31" t="s">
        <v>153</v>
      </c>
    </row>
    <row r="95" spans="1:6" x14ac:dyDescent="0.2">
      <c r="A95" s="12" t="s">
        <v>119</v>
      </c>
      <c r="B95" s="13" t="s">
        <v>120</v>
      </c>
      <c r="C95" s="14">
        <v>4248000</v>
      </c>
      <c r="D95" s="14">
        <v>4752000</v>
      </c>
      <c r="E95" s="14">
        <v>7656000</v>
      </c>
      <c r="F95" s="15" t="s">
        <v>153</v>
      </c>
    </row>
    <row r="96" spans="1:6" x14ac:dyDescent="0.2">
      <c r="A96" s="12" t="s">
        <v>121</v>
      </c>
      <c r="B96" s="13" t="s">
        <v>122</v>
      </c>
      <c r="C96" s="14">
        <v>49000</v>
      </c>
      <c r="D96" s="14">
        <v>-9000</v>
      </c>
      <c r="E96" s="14">
        <v>55000</v>
      </c>
      <c r="F96" s="15" t="s">
        <v>153</v>
      </c>
    </row>
    <row r="97" spans="1:6" x14ac:dyDescent="0.2">
      <c r="A97" s="12" t="s">
        <v>167</v>
      </c>
      <c r="B97" s="13" t="s">
        <v>168</v>
      </c>
      <c r="C97" s="14">
        <v>18737000</v>
      </c>
      <c r="D97" s="14">
        <v>17829000</v>
      </c>
      <c r="E97" s="14">
        <v>17799000</v>
      </c>
      <c r="F97" s="15" t="s">
        <v>153</v>
      </c>
    </row>
    <row r="98" spans="1:6" x14ac:dyDescent="0.2">
      <c r="A98" s="12" t="s">
        <v>169</v>
      </c>
      <c r="B98" s="13"/>
      <c r="C98" s="14">
        <v>8355000</v>
      </c>
      <c r="D98" s="14">
        <v>8407000</v>
      </c>
      <c r="E98" s="14">
        <v>8441000</v>
      </c>
      <c r="F98" s="15" t="s">
        <v>153</v>
      </c>
    </row>
    <row r="99" spans="1:6" x14ac:dyDescent="0.2">
      <c r="A99" s="16" t="s">
        <v>170</v>
      </c>
      <c r="B99" s="13"/>
      <c r="C99" s="14">
        <v>1656000</v>
      </c>
      <c r="D99" s="14">
        <v>1731000</v>
      </c>
      <c r="E99" s="14">
        <v>2225000</v>
      </c>
      <c r="F99" s="15" t="s">
        <v>153</v>
      </c>
    </row>
    <row r="100" spans="1:6" x14ac:dyDescent="0.2">
      <c r="A100" s="16" t="s">
        <v>171</v>
      </c>
      <c r="B100" s="13"/>
      <c r="C100" s="14">
        <v>993000</v>
      </c>
      <c r="D100" s="14">
        <v>915000</v>
      </c>
      <c r="E100" s="14">
        <v>880000</v>
      </c>
      <c r="F100" s="15" t="s">
        <v>153</v>
      </c>
    </row>
    <row r="101" spans="1:6" x14ac:dyDescent="0.2">
      <c r="A101" s="16" t="s">
        <v>172</v>
      </c>
      <c r="B101" s="13"/>
      <c r="C101" s="14">
        <v>2989000</v>
      </c>
      <c r="D101" s="14">
        <v>2717000</v>
      </c>
      <c r="E101" s="14">
        <v>2715000</v>
      </c>
      <c r="F101" s="15" t="s">
        <v>153</v>
      </c>
    </row>
    <row r="102" spans="1:6" x14ac:dyDescent="0.2">
      <c r="A102" s="16" t="s">
        <v>173</v>
      </c>
      <c r="B102" s="13"/>
      <c r="C102" s="14">
        <v>713000</v>
      </c>
      <c r="D102" s="14">
        <v>710000</v>
      </c>
      <c r="E102" s="14">
        <v>702000</v>
      </c>
      <c r="F102" s="15" t="s">
        <v>153</v>
      </c>
    </row>
    <row r="103" spans="1:6" x14ac:dyDescent="0.2">
      <c r="A103" s="16" t="s">
        <v>174</v>
      </c>
      <c r="B103" s="13"/>
      <c r="C103" s="14">
        <v>2004000</v>
      </c>
      <c r="D103" s="14">
        <v>2334000</v>
      </c>
      <c r="E103" s="14">
        <v>1919000</v>
      </c>
      <c r="F103" s="15" t="s">
        <v>153</v>
      </c>
    </row>
    <row r="104" spans="1:6" x14ac:dyDescent="0.2">
      <c r="A104" s="12" t="s">
        <v>175</v>
      </c>
      <c r="B104" s="13"/>
      <c r="C104" s="14">
        <v>9568000</v>
      </c>
      <c r="D104" s="14">
        <v>9598000</v>
      </c>
      <c r="E104" s="14">
        <v>9932000</v>
      </c>
      <c r="F104" s="15" t="s">
        <v>153</v>
      </c>
    </row>
    <row r="105" spans="1:6" x14ac:dyDescent="0.2">
      <c r="A105" s="16" t="s">
        <v>176</v>
      </c>
      <c r="B105" s="13"/>
      <c r="C105" s="14">
        <v>3664000</v>
      </c>
      <c r="D105" s="14">
        <v>3322000</v>
      </c>
      <c r="E105" s="14">
        <v>3846000</v>
      </c>
      <c r="F105" s="15" t="s">
        <v>153</v>
      </c>
    </row>
    <row r="106" spans="1:6" x14ac:dyDescent="0.2">
      <c r="A106" s="16" t="s">
        <v>177</v>
      </c>
      <c r="B106" s="13" t="s">
        <v>88</v>
      </c>
      <c r="C106" s="14">
        <v>5904000</v>
      </c>
      <c r="D106" s="14">
        <v>6276000</v>
      </c>
      <c r="E106" s="14">
        <v>6086000</v>
      </c>
      <c r="F106" s="15" t="s">
        <v>153</v>
      </c>
    </row>
    <row r="107" spans="1:6" x14ac:dyDescent="0.2">
      <c r="A107" s="12" t="s">
        <v>178</v>
      </c>
      <c r="B107" s="13" t="s">
        <v>179</v>
      </c>
      <c r="C107" s="14">
        <v>15937000</v>
      </c>
      <c r="D107" s="14">
        <v>16344000</v>
      </c>
      <c r="E107" s="14">
        <v>17598000</v>
      </c>
      <c r="F107" s="15" t="s">
        <v>153</v>
      </c>
    </row>
    <row r="108" spans="1:6" x14ac:dyDescent="0.2">
      <c r="A108" s="12" t="s">
        <v>180</v>
      </c>
      <c r="B108" s="13"/>
      <c r="C108" s="14">
        <v>62995000</v>
      </c>
      <c r="D108" s="14">
        <v>0</v>
      </c>
      <c r="E108" s="14">
        <v>0</v>
      </c>
      <c r="F108" s="15" t="s">
        <v>153</v>
      </c>
    </row>
    <row r="109" spans="1:6" x14ac:dyDescent="0.2">
      <c r="A109" s="32" t="s">
        <v>181</v>
      </c>
      <c r="B109" s="32"/>
      <c r="C109" s="23">
        <f>SUM(C70,C79,C87,C95,C96,C97,C98,C104,C107,C108)</f>
        <v>1754767000</v>
      </c>
      <c r="D109" s="23">
        <f>SUM(D70,D79,D87,D95,D96,D97,D98,D104,D107,D108)</f>
        <v>1729754000</v>
      </c>
      <c r="E109" s="23">
        <f>SUM(E70,E79,E87,E95,E96,E97,E98,E104,E107,E108)</f>
        <v>1692821000</v>
      </c>
      <c r="F109" s="33" t="s">
        <v>182</v>
      </c>
    </row>
    <row r="110" spans="1:6" x14ac:dyDescent="0.2">
      <c r="A110" s="34" t="s">
        <v>149</v>
      </c>
      <c r="B110" s="29"/>
      <c r="C110" s="30">
        <v>1754767000</v>
      </c>
      <c r="D110" s="30">
        <v>1729754000</v>
      </c>
      <c r="E110" s="30">
        <v>1692821000</v>
      </c>
      <c r="F110" s="31" t="s">
        <v>153</v>
      </c>
    </row>
    <row r="111" spans="1:6" x14ac:dyDescent="0.2">
      <c r="A111" s="35" t="s">
        <v>150</v>
      </c>
      <c r="B111" s="13"/>
      <c r="C111" s="36">
        <f>C109-C110</f>
        <v>0</v>
      </c>
      <c r="D111" s="36">
        <f>D109-D110</f>
        <v>0</v>
      </c>
      <c r="E111" s="36">
        <f>E109-E110</f>
        <v>0</v>
      </c>
      <c r="F111" s="15"/>
    </row>
    <row r="113" spans="1:6" ht="18" customHeight="1" x14ac:dyDescent="0.2">
      <c r="A113" s="2" t="s">
        <v>183</v>
      </c>
      <c r="B113" s="2"/>
      <c r="C113" s="2"/>
      <c r="D113" s="2"/>
      <c r="E113" s="2"/>
      <c r="F113" s="2"/>
    </row>
    <row r="114" spans="1:6" x14ac:dyDescent="0.2">
      <c r="A114" s="12" t="s">
        <v>184</v>
      </c>
      <c r="B114" s="13" t="s">
        <v>185</v>
      </c>
      <c r="C114" s="14">
        <v>141144000</v>
      </c>
      <c r="D114" s="14">
        <v>135196000</v>
      </c>
      <c r="E114" s="14">
        <v>130443000</v>
      </c>
      <c r="F114" s="15" t="s">
        <v>186</v>
      </c>
    </row>
    <row r="115" spans="1:6" x14ac:dyDescent="0.2">
      <c r="A115" s="16" t="s">
        <v>187</v>
      </c>
      <c r="B115" s="13" t="s">
        <v>188</v>
      </c>
      <c r="C115" s="14">
        <v>7345000</v>
      </c>
      <c r="D115" s="14">
        <v>7576000</v>
      </c>
      <c r="E115" s="14">
        <v>8092000</v>
      </c>
      <c r="F115" s="15" t="s">
        <v>186</v>
      </c>
    </row>
    <row r="116" spans="1:6" x14ac:dyDescent="0.2">
      <c r="A116" s="27" t="s">
        <v>189</v>
      </c>
      <c r="B116" s="13"/>
      <c r="C116" s="14">
        <v>7345000</v>
      </c>
      <c r="D116" s="14">
        <v>7576000</v>
      </c>
      <c r="E116" s="14">
        <v>8092000</v>
      </c>
      <c r="F116" s="15" t="s">
        <v>186</v>
      </c>
    </row>
    <row r="117" spans="1:6" x14ac:dyDescent="0.2">
      <c r="A117" s="27" t="s">
        <v>190</v>
      </c>
      <c r="B117" s="13"/>
      <c r="C117" s="14">
        <v>0</v>
      </c>
      <c r="D117" s="14">
        <v>0</v>
      </c>
      <c r="E117" s="14">
        <v>0</v>
      </c>
      <c r="F117" s="15" t="s">
        <v>186</v>
      </c>
    </row>
    <row r="118" spans="1:6" x14ac:dyDescent="0.2">
      <c r="A118" s="16" t="s">
        <v>191</v>
      </c>
      <c r="B118" s="13" t="s">
        <v>192</v>
      </c>
      <c r="C118" s="14">
        <v>36792000</v>
      </c>
      <c r="D118" s="14">
        <v>40079000</v>
      </c>
      <c r="E118" s="14">
        <v>44373000</v>
      </c>
      <c r="F118" s="15" t="s">
        <v>186</v>
      </c>
    </row>
    <row r="119" spans="1:6" x14ac:dyDescent="0.2">
      <c r="A119" s="16" t="s">
        <v>193</v>
      </c>
      <c r="B119" s="13" t="s">
        <v>194</v>
      </c>
      <c r="C119" s="14">
        <v>0</v>
      </c>
      <c r="D119" s="14">
        <v>0</v>
      </c>
      <c r="E119" s="14">
        <v>720000</v>
      </c>
      <c r="F119" s="15" t="s">
        <v>186</v>
      </c>
    </row>
    <row r="120" spans="1:6" x14ac:dyDescent="0.2">
      <c r="A120" s="16" t="s">
        <v>195</v>
      </c>
      <c r="B120" s="13" t="s">
        <v>194</v>
      </c>
      <c r="C120" s="14">
        <v>273000</v>
      </c>
      <c r="D120" s="14">
        <v>217000</v>
      </c>
      <c r="E120" s="14">
        <v>195000</v>
      </c>
      <c r="F120" s="15" t="s">
        <v>186</v>
      </c>
    </row>
    <row r="121" spans="1:6" x14ac:dyDescent="0.2">
      <c r="A121" s="16" t="s">
        <v>196</v>
      </c>
      <c r="B121" s="13" t="s">
        <v>197</v>
      </c>
      <c r="C121" s="14">
        <v>91959000</v>
      </c>
      <c r="D121" s="14">
        <v>82326000</v>
      </c>
      <c r="E121" s="14">
        <v>74114000</v>
      </c>
      <c r="F121" s="15" t="s">
        <v>186</v>
      </c>
    </row>
    <row r="122" spans="1:6" x14ac:dyDescent="0.2">
      <c r="A122" s="16" t="s">
        <v>198</v>
      </c>
      <c r="B122" s="13" t="s">
        <v>197</v>
      </c>
      <c r="C122" s="14">
        <v>0</v>
      </c>
      <c r="D122" s="14">
        <v>0</v>
      </c>
      <c r="E122" s="14">
        <v>0</v>
      </c>
      <c r="F122" s="15" t="s">
        <v>186</v>
      </c>
    </row>
    <row r="123" spans="1:6" x14ac:dyDescent="0.2">
      <c r="A123" s="16" t="s">
        <v>199</v>
      </c>
      <c r="B123" s="13" t="s">
        <v>197</v>
      </c>
      <c r="C123" s="14">
        <v>-7532000</v>
      </c>
      <c r="D123" s="14">
        <v>-5976000</v>
      </c>
      <c r="E123" s="14">
        <v>-5751000</v>
      </c>
      <c r="F123" s="15" t="s">
        <v>186</v>
      </c>
    </row>
    <row r="124" spans="1:6" x14ac:dyDescent="0.2">
      <c r="A124" s="16" t="s">
        <v>200</v>
      </c>
      <c r="B124" s="13" t="s">
        <v>194</v>
      </c>
      <c r="C124" s="14">
        <v>-96000</v>
      </c>
      <c r="D124" s="14">
        <v>-68000</v>
      </c>
      <c r="E124" s="14">
        <v>-1078000</v>
      </c>
      <c r="F124" s="15" t="s">
        <v>186</v>
      </c>
    </row>
    <row r="125" spans="1:6" x14ac:dyDescent="0.2">
      <c r="A125" s="16" t="s">
        <v>201</v>
      </c>
      <c r="B125" s="13"/>
      <c r="C125" s="14">
        <v>14101000</v>
      </c>
      <c r="D125" s="14">
        <v>12574000</v>
      </c>
      <c r="E125" s="14">
        <v>11076000</v>
      </c>
      <c r="F125" s="15" t="s">
        <v>186</v>
      </c>
    </row>
    <row r="126" spans="1:6" x14ac:dyDescent="0.2">
      <c r="A126" s="16" t="s">
        <v>202</v>
      </c>
      <c r="B126" s="13" t="s">
        <v>98</v>
      </c>
      <c r="C126" s="14">
        <v>-1698000</v>
      </c>
      <c r="D126" s="14">
        <v>-1532000</v>
      </c>
      <c r="E126" s="14">
        <v>-1298000</v>
      </c>
      <c r="F126" s="15" t="s">
        <v>186</v>
      </c>
    </row>
    <row r="127" spans="1:6" x14ac:dyDescent="0.2">
      <c r="A127" s="12" t="s">
        <v>203</v>
      </c>
      <c r="B127" s="13" t="s">
        <v>204</v>
      </c>
      <c r="C127" s="14">
        <v>-37974000</v>
      </c>
      <c r="D127" s="14">
        <v>-36595000</v>
      </c>
      <c r="E127" s="14">
        <v>-35020000</v>
      </c>
      <c r="F127" s="15" t="s">
        <v>186</v>
      </c>
    </row>
    <row r="128" spans="1:6" x14ac:dyDescent="0.2">
      <c r="A128" s="16" t="s">
        <v>205</v>
      </c>
      <c r="B128" s="13"/>
      <c r="C128" s="14">
        <v>-4121000</v>
      </c>
      <c r="D128" s="14">
        <v>-4757000</v>
      </c>
      <c r="E128" s="14">
        <v>-5212000</v>
      </c>
      <c r="F128" s="15" t="s">
        <v>186</v>
      </c>
    </row>
    <row r="129" spans="1:6" x14ac:dyDescent="0.2">
      <c r="A129" s="16" t="s">
        <v>206</v>
      </c>
      <c r="B129" s="13"/>
      <c r="C129" s="14">
        <v>-33853000</v>
      </c>
      <c r="D129" s="14">
        <v>-31838000</v>
      </c>
      <c r="E129" s="14">
        <v>-29808000</v>
      </c>
      <c r="F129" s="15" t="s">
        <v>186</v>
      </c>
    </row>
    <row r="130" spans="1:6" x14ac:dyDescent="0.2">
      <c r="A130" s="12" t="s">
        <v>207</v>
      </c>
      <c r="B130" s="13" t="s">
        <v>94</v>
      </c>
      <c r="C130" s="14">
        <v>9578000</v>
      </c>
      <c r="D130" s="14">
        <v>8726000</v>
      </c>
      <c r="E130" s="14">
        <v>8818000</v>
      </c>
      <c r="F130" s="15" t="s">
        <v>186</v>
      </c>
    </row>
    <row r="131" spans="1:6" x14ac:dyDescent="0.2">
      <c r="A131" s="16" t="s">
        <v>208</v>
      </c>
      <c r="B131" s="13"/>
      <c r="C131" s="14">
        <v>-1947000</v>
      </c>
      <c r="D131" s="14">
        <v>-2020000</v>
      </c>
      <c r="E131" s="14">
        <v>-1559000</v>
      </c>
      <c r="F131" s="15" t="s">
        <v>186</v>
      </c>
    </row>
    <row r="132" spans="1:6" x14ac:dyDescent="0.2">
      <c r="A132" s="16" t="s">
        <v>209</v>
      </c>
      <c r="B132" s="13"/>
      <c r="C132" s="14">
        <v>11525000</v>
      </c>
      <c r="D132" s="14">
        <v>10746000</v>
      </c>
      <c r="E132" s="14">
        <v>10377000</v>
      </c>
      <c r="F132" s="15" t="s">
        <v>186</v>
      </c>
    </row>
    <row r="133" spans="1:6" x14ac:dyDescent="0.2">
      <c r="A133" s="32" t="s">
        <v>210</v>
      </c>
      <c r="B133" s="32"/>
      <c r="C133" s="23">
        <f>SUM(C114,C127,C130)</f>
        <v>112748000</v>
      </c>
      <c r="D133" s="23">
        <f>SUM(D114,D127,D130)</f>
        <v>107327000</v>
      </c>
      <c r="E133" s="23">
        <f>SUM(E114,E127,E130)</f>
        <v>104241000</v>
      </c>
      <c r="F133" s="33" t="s">
        <v>211</v>
      </c>
    </row>
    <row r="134" spans="1:6" x14ac:dyDescent="0.2">
      <c r="A134" s="34" t="s">
        <v>149</v>
      </c>
      <c r="B134" s="29"/>
      <c r="C134" s="30">
        <v>112748000</v>
      </c>
      <c r="D134" s="30">
        <v>107327000</v>
      </c>
      <c r="E134" s="30">
        <v>104241000</v>
      </c>
      <c r="F134" s="31" t="s">
        <v>186</v>
      </c>
    </row>
    <row r="135" spans="1:6" x14ac:dyDescent="0.2">
      <c r="A135" s="35" t="s">
        <v>150</v>
      </c>
      <c r="B135" s="13"/>
      <c r="C135" s="36">
        <f>C133-C134</f>
        <v>0</v>
      </c>
      <c r="D135" s="36">
        <f>D133-D134</f>
        <v>0</v>
      </c>
      <c r="E135" s="36">
        <f>E133-E134</f>
        <v>0</v>
      </c>
      <c r="F135" s="15"/>
    </row>
    <row r="137" spans="1:6" x14ac:dyDescent="0.2">
      <c r="A137" s="21" t="s">
        <v>212</v>
      </c>
      <c r="B137" s="22"/>
      <c r="C137" s="23">
        <f>C109+C133</f>
        <v>1867515000</v>
      </c>
      <c r="D137" s="23">
        <f>D109+D133</f>
        <v>1837081000</v>
      </c>
      <c r="E137" s="23">
        <f>E109+E133</f>
        <v>1797062000</v>
      </c>
      <c r="F137" s="24"/>
    </row>
    <row r="138" spans="1:6" x14ac:dyDescent="0.2">
      <c r="A138" s="37" t="s">
        <v>213</v>
      </c>
      <c r="B138" s="13"/>
      <c r="C138" s="36">
        <f>C65-C137</f>
        <v>0</v>
      </c>
      <c r="D138" s="36">
        <f>D65-D137</f>
        <v>0</v>
      </c>
      <c r="E138" s="36">
        <f>E65-E137</f>
        <v>0</v>
      </c>
      <c r="F138" s="15"/>
    </row>
  </sheetData>
  <mergeCells count="6">
    <mergeCell ref="A113:F113"/>
    <mergeCell ref="A1:F1"/>
    <mergeCell ref="A2:F2"/>
    <mergeCell ref="A3:F3"/>
    <mergeCell ref="A6:F6"/>
    <mergeCell ref="A69:F69"/>
  </mergeCells>
  <conditionalFormatting sqref="C67:E67">
    <cfRule type="expression" dxfId="8" priority="2">
      <formula>ROUND(C67,0)&lt;&gt;0</formula>
    </cfRule>
  </conditionalFormatting>
  <conditionalFormatting sqref="C111:E111">
    <cfRule type="expression" dxfId="7" priority="3">
      <formula>ROUND(C111,0)&lt;&gt;0</formula>
    </cfRule>
  </conditionalFormatting>
  <conditionalFormatting sqref="C135:E135">
    <cfRule type="expression" dxfId="6" priority="4">
      <formula>ROUND(C135,0)&lt;&gt;0</formula>
    </cfRule>
  </conditionalFormatting>
  <conditionalFormatting sqref="C138:E138">
    <cfRule type="expression" dxfId="5" priority="5">
      <formula>ROUND(C138,0)&lt;&gt;0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O45"/>
  <sheetViews>
    <sheetView zoomScaleNormal="100" workbookViewId="0">
      <pane xSplit="1" ySplit="5" topLeftCell="B6" activePane="bottomRight" state="frozen"/>
      <selection pane="topRight" activeCell="B1" sqref="B1"/>
      <selection pane="bottomLeft" activeCell="A6" sqref="A6"/>
      <selection pane="bottomRight"/>
    </sheetView>
  </sheetViews>
  <sheetFormatPr baseColWidth="10" defaultColWidth="8.6640625" defaultRowHeight="15" x14ac:dyDescent="0.2"/>
  <cols>
    <col min="1" max="1" width="40" customWidth="1"/>
    <col min="2" max="15" width="13.5" customWidth="1"/>
  </cols>
  <sheetData>
    <row r="1" spans="1:15" ht="25.5" customHeight="1" x14ac:dyDescent="0.2">
      <c r="A1" s="5" t="s">
        <v>214</v>
      </c>
      <c r="B1" s="5"/>
      <c r="C1" s="5"/>
      <c r="D1" s="5"/>
      <c r="E1" s="5"/>
      <c r="F1" s="5"/>
      <c r="G1" s="5"/>
      <c r="H1" s="5"/>
      <c r="I1" s="5"/>
      <c r="J1" s="5"/>
      <c r="K1" s="5"/>
      <c r="L1" s="5"/>
      <c r="M1" s="5"/>
      <c r="N1" s="5"/>
      <c r="O1" s="5"/>
    </row>
    <row r="2" spans="1:15" ht="15" customHeight="1" x14ac:dyDescent="0.2">
      <c r="A2" s="4" t="s">
        <v>215</v>
      </c>
      <c r="B2" s="4"/>
      <c r="C2" s="4"/>
      <c r="D2" s="4"/>
      <c r="E2" s="4"/>
      <c r="F2" s="4"/>
      <c r="G2" s="4"/>
      <c r="H2" s="4"/>
      <c r="I2" s="4"/>
      <c r="J2" s="4"/>
      <c r="K2" s="4"/>
      <c r="L2" s="4"/>
      <c r="M2" s="4"/>
      <c r="N2" s="4"/>
      <c r="O2" s="4"/>
    </row>
    <row r="3" spans="1:15" ht="15" customHeight="1" x14ac:dyDescent="0.2">
      <c r="A3" s="3" t="s">
        <v>23</v>
      </c>
      <c r="B3" s="3"/>
      <c r="C3" s="3"/>
      <c r="D3" s="3"/>
      <c r="E3" s="3"/>
      <c r="F3" s="3"/>
      <c r="G3" s="3"/>
      <c r="H3" s="3"/>
      <c r="I3" s="3"/>
      <c r="J3" s="3"/>
      <c r="K3" s="3"/>
      <c r="L3" s="3"/>
      <c r="M3" s="3"/>
      <c r="N3" s="3"/>
      <c r="O3" s="3"/>
    </row>
    <row r="5" spans="1:15" ht="27.75" customHeight="1" x14ac:dyDescent="0.2">
      <c r="A5" s="10" t="s">
        <v>216</v>
      </c>
      <c r="B5" s="11" t="s">
        <v>187</v>
      </c>
      <c r="C5" s="11" t="s">
        <v>191</v>
      </c>
      <c r="D5" s="11" t="s">
        <v>217</v>
      </c>
      <c r="E5" s="11" t="s">
        <v>195</v>
      </c>
      <c r="F5" s="11" t="s">
        <v>196</v>
      </c>
      <c r="G5" s="11" t="s">
        <v>198</v>
      </c>
      <c r="H5" s="11" t="s">
        <v>199</v>
      </c>
      <c r="I5" s="11" t="s">
        <v>218</v>
      </c>
      <c r="J5" s="11" t="s">
        <v>219</v>
      </c>
      <c r="K5" s="11" t="s">
        <v>220</v>
      </c>
      <c r="L5" s="11" t="s">
        <v>221</v>
      </c>
      <c r="M5" s="11" t="s">
        <v>222</v>
      </c>
      <c r="N5" s="11" t="s">
        <v>223</v>
      </c>
      <c r="O5" s="11" t="s">
        <v>210</v>
      </c>
    </row>
    <row r="6" spans="1:15" ht="18" customHeight="1" x14ac:dyDescent="0.2">
      <c r="A6" s="2" t="s">
        <v>224</v>
      </c>
      <c r="B6" s="2"/>
      <c r="C6" s="2"/>
      <c r="D6" s="2"/>
      <c r="E6" s="2"/>
      <c r="F6" s="2"/>
      <c r="G6" s="2"/>
      <c r="H6" s="2"/>
      <c r="I6" s="2"/>
      <c r="J6" s="2"/>
      <c r="K6" s="2"/>
      <c r="L6" s="2"/>
      <c r="M6" s="2"/>
      <c r="N6" s="2"/>
      <c r="O6" s="2"/>
    </row>
    <row r="7" spans="1:15" x14ac:dyDescent="0.2">
      <c r="A7" s="17" t="s">
        <v>225</v>
      </c>
      <c r="B7" s="19">
        <v>7576000</v>
      </c>
      <c r="C7" s="19">
        <v>40079000</v>
      </c>
      <c r="D7" s="19">
        <v>0</v>
      </c>
      <c r="E7" s="19">
        <v>217000</v>
      </c>
      <c r="F7" s="19">
        <v>82326000</v>
      </c>
      <c r="G7" s="19">
        <v>0</v>
      </c>
      <c r="H7" s="19">
        <v>-5976000</v>
      </c>
      <c r="I7" s="19">
        <v>-68000</v>
      </c>
      <c r="J7" s="19">
        <v>12574000</v>
      </c>
      <c r="K7" s="19">
        <v>-1532000</v>
      </c>
      <c r="L7" s="19">
        <v>-36595000</v>
      </c>
      <c r="M7" s="19">
        <v>-2020000</v>
      </c>
      <c r="N7" s="19">
        <v>10746000</v>
      </c>
      <c r="O7" s="19">
        <v>107327000</v>
      </c>
    </row>
    <row r="8" spans="1:15" x14ac:dyDescent="0.2">
      <c r="A8" s="16" t="s">
        <v>226</v>
      </c>
      <c r="B8" s="14">
        <v>0</v>
      </c>
      <c r="C8" s="14">
        <v>0</v>
      </c>
      <c r="D8" s="14">
        <v>0</v>
      </c>
      <c r="E8" s="14">
        <v>0</v>
      </c>
      <c r="F8" s="14">
        <v>0</v>
      </c>
      <c r="G8" s="14">
        <v>0</v>
      </c>
      <c r="H8" s="14">
        <v>0</v>
      </c>
      <c r="I8" s="14">
        <v>0</v>
      </c>
      <c r="J8" s="14">
        <v>0</v>
      </c>
      <c r="K8" s="14">
        <v>0</v>
      </c>
      <c r="L8" s="14">
        <v>0</v>
      </c>
      <c r="M8" s="14">
        <v>0</v>
      </c>
      <c r="N8" s="14">
        <v>0</v>
      </c>
      <c r="O8" s="14">
        <v>0</v>
      </c>
    </row>
    <row r="9" spans="1:15" x14ac:dyDescent="0.2">
      <c r="A9" s="16" t="s">
        <v>227</v>
      </c>
      <c r="B9" s="14">
        <v>0</v>
      </c>
      <c r="C9" s="14">
        <v>0</v>
      </c>
      <c r="D9" s="14">
        <v>0</v>
      </c>
      <c r="E9" s="14">
        <v>0</v>
      </c>
      <c r="F9" s="14">
        <v>0</v>
      </c>
      <c r="G9" s="14">
        <v>0</v>
      </c>
      <c r="H9" s="14">
        <v>0</v>
      </c>
      <c r="I9" s="14">
        <v>0</v>
      </c>
      <c r="J9" s="14">
        <v>0</v>
      </c>
      <c r="K9" s="14">
        <v>0</v>
      </c>
      <c r="L9" s="14">
        <v>0</v>
      </c>
      <c r="M9" s="14">
        <v>0</v>
      </c>
      <c r="N9" s="14">
        <v>0</v>
      </c>
      <c r="O9" s="14">
        <v>0</v>
      </c>
    </row>
    <row r="10" spans="1:15" x14ac:dyDescent="0.2">
      <c r="A10" s="17" t="s">
        <v>228</v>
      </c>
      <c r="B10" s="19">
        <v>7576000</v>
      </c>
      <c r="C10" s="19">
        <v>40079000</v>
      </c>
      <c r="D10" s="19">
        <v>0</v>
      </c>
      <c r="E10" s="19">
        <v>217000</v>
      </c>
      <c r="F10" s="19">
        <v>82326000</v>
      </c>
      <c r="G10" s="19">
        <v>0</v>
      </c>
      <c r="H10" s="19">
        <v>-5976000</v>
      </c>
      <c r="I10" s="19">
        <v>-68000</v>
      </c>
      <c r="J10" s="19">
        <v>12574000</v>
      </c>
      <c r="K10" s="19">
        <v>-1532000</v>
      </c>
      <c r="L10" s="19">
        <v>-36595000</v>
      </c>
      <c r="M10" s="19">
        <v>-2020000</v>
      </c>
      <c r="N10" s="19">
        <v>10746000</v>
      </c>
      <c r="O10" s="19">
        <v>107327000</v>
      </c>
    </row>
    <row r="11" spans="1:15" x14ac:dyDescent="0.2">
      <c r="A11" s="17" t="s">
        <v>229</v>
      </c>
      <c r="B11" s="19">
        <v>0</v>
      </c>
      <c r="C11" s="19">
        <v>0</v>
      </c>
      <c r="D11" s="19">
        <v>0</v>
      </c>
      <c r="E11" s="19">
        <v>0</v>
      </c>
      <c r="F11" s="19">
        <v>0</v>
      </c>
      <c r="G11" s="19">
        <v>0</v>
      </c>
      <c r="H11" s="19">
        <v>0</v>
      </c>
      <c r="I11" s="19">
        <v>0</v>
      </c>
      <c r="J11" s="19">
        <v>14101000</v>
      </c>
      <c r="K11" s="19">
        <v>0</v>
      </c>
      <c r="L11" s="19">
        <v>-1911000</v>
      </c>
      <c r="M11" s="19">
        <v>53000</v>
      </c>
      <c r="N11" s="19">
        <v>1399000</v>
      </c>
      <c r="O11" s="19">
        <v>13642000</v>
      </c>
    </row>
    <row r="12" spans="1:15" x14ac:dyDescent="0.2">
      <c r="A12" s="16" t="s">
        <v>230</v>
      </c>
      <c r="B12" s="14">
        <v>-231000</v>
      </c>
      <c r="C12" s="14">
        <v>-3287000</v>
      </c>
      <c r="D12" s="14">
        <v>0</v>
      </c>
      <c r="E12" s="14">
        <v>0</v>
      </c>
      <c r="F12" s="14">
        <v>0</v>
      </c>
      <c r="G12" s="14">
        <v>0</v>
      </c>
      <c r="H12" s="14">
        <v>231000</v>
      </c>
      <c r="I12" s="14">
        <v>3287000</v>
      </c>
      <c r="J12" s="14">
        <v>0</v>
      </c>
      <c r="K12" s="14">
        <v>0</v>
      </c>
      <c r="L12" s="14">
        <v>0</v>
      </c>
      <c r="M12" s="14">
        <v>0</v>
      </c>
      <c r="N12" s="14">
        <v>-8000</v>
      </c>
      <c r="O12" s="14">
        <v>-8000</v>
      </c>
    </row>
    <row r="13" spans="1:15" x14ac:dyDescent="0.2">
      <c r="A13" s="16" t="s">
        <v>231</v>
      </c>
      <c r="B13" s="14">
        <v>0</v>
      </c>
      <c r="C13" s="14">
        <v>0</v>
      </c>
      <c r="D13" s="14">
        <v>0</v>
      </c>
      <c r="E13" s="14">
        <v>0</v>
      </c>
      <c r="F13" s="14">
        <v>-1643000</v>
      </c>
      <c r="G13" s="14">
        <v>0</v>
      </c>
      <c r="H13" s="14">
        <v>0</v>
      </c>
      <c r="I13" s="14">
        <v>0</v>
      </c>
      <c r="J13" s="14">
        <v>0</v>
      </c>
      <c r="K13" s="14">
        <v>-1698000</v>
      </c>
      <c r="L13" s="14">
        <v>0</v>
      </c>
      <c r="M13" s="14">
        <v>0</v>
      </c>
      <c r="N13" s="14">
        <v>-896000</v>
      </c>
      <c r="O13" s="14">
        <v>-4237000</v>
      </c>
    </row>
    <row r="14" spans="1:15" x14ac:dyDescent="0.2">
      <c r="A14" s="16" t="s">
        <v>232</v>
      </c>
      <c r="B14" s="14">
        <v>0</v>
      </c>
      <c r="C14" s="14">
        <v>0</v>
      </c>
      <c r="D14" s="14">
        <v>0</v>
      </c>
      <c r="E14" s="14">
        <v>0</v>
      </c>
      <c r="F14" s="14">
        <v>0</v>
      </c>
      <c r="G14" s="14">
        <v>0</v>
      </c>
      <c r="H14" s="14">
        <v>0</v>
      </c>
      <c r="I14" s="14">
        <v>-4081000</v>
      </c>
      <c r="J14" s="14">
        <v>0</v>
      </c>
      <c r="K14" s="14">
        <v>0</v>
      </c>
      <c r="L14" s="14">
        <v>0</v>
      </c>
      <c r="M14" s="14">
        <v>0</v>
      </c>
      <c r="N14" s="14">
        <v>0</v>
      </c>
      <c r="O14" s="14">
        <v>-4081000</v>
      </c>
    </row>
    <row r="15" spans="1:15" x14ac:dyDescent="0.2">
      <c r="A15" s="16" t="s">
        <v>233</v>
      </c>
      <c r="B15" s="14">
        <v>0</v>
      </c>
      <c r="C15" s="14">
        <v>0</v>
      </c>
      <c r="D15" s="14">
        <v>0</v>
      </c>
      <c r="E15" s="14">
        <v>0</v>
      </c>
      <c r="F15" s="14">
        <v>0</v>
      </c>
      <c r="G15" s="14">
        <v>0</v>
      </c>
      <c r="H15" s="14">
        <v>34000</v>
      </c>
      <c r="I15" s="14">
        <v>766000</v>
      </c>
      <c r="J15" s="14">
        <v>0</v>
      </c>
      <c r="K15" s="14">
        <v>0</v>
      </c>
      <c r="L15" s="14">
        <v>0</v>
      </c>
      <c r="M15" s="14">
        <v>0</v>
      </c>
      <c r="N15" s="14">
        <v>0</v>
      </c>
      <c r="O15" s="14">
        <v>800000</v>
      </c>
    </row>
    <row r="16" spans="1:15" x14ac:dyDescent="0.2">
      <c r="A16" s="16" t="s">
        <v>234</v>
      </c>
      <c r="B16" s="14">
        <v>0</v>
      </c>
      <c r="C16" s="14">
        <v>0</v>
      </c>
      <c r="D16" s="14">
        <v>0</v>
      </c>
      <c r="E16" s="14">
        <v>0</v>
      </c>
      <c r="F16" s="14">
        <v>11276000</v>
      </c>
      <c r="G16" s="14">
        <v>0</v>
      </c>
      <c r="H16" s="14">
        <v>-766000</v>
      </c>
      <c r="I16" s="14">
        <v>0</v>
      </c>
      <c r="J16" s="14">
        <v>-12574000</v>
      </c>
      <c r="K16" s="14">
        <v>1532000</v>
      </c>
      <c r="L16" s="14">
        <v>532000</v>
      </c>
      <c r="M16" s="14">
        <v>20000</v>
      </c>
      <c r="N16" s="14">
        <v>-20000</v>
      </c>
      <c r="O16" s="14">
        <v>0</v>
      </c>
    </row>
    <row r="17" spans="1:15" x14ac:dyDescent="0.2">
      <c r="A17" s="16" t="s">
        <v>235</v>
      </c>
      <c r="B17" s="14">
        <v>0</v>
      </c>
      <c r="C17" s="14">
        <v>0</v>
      </c>
      <c r="D17" s="14">
        <v>0</v>
      </c>
      <c r="E17" s="14">
        <v>0</v>
      </c>
      <c r="F17" s="14">
        <v>0</v>
      </c>
      <c r="G17" s="14">
        <v>0</v>
      </c>
      <c r="H17" s="14">
        <v>0</v>
      </c>
      <c r="I17" s="14">
        <v>0</v>
      </c>
      <c r="J17" s="14">
        <v>0</v>
      </c>
      <c r="K17" s="14">
        <v>0</v>
      </c>
      <c r="L17" s="14">
        <v>0</v>
      </c>
      <c r="M17" s="14">
        <v>0</v>
      </c>
      <c r="N17" s="14">
        <v>-5000</v>
      </c>
      <c r="O17" s="14">
        <v>-5000</v>
      </c>
    </row>
    <row r="18" spans="1:15" x14ac:dyDescent="0.2">
      <c r="A18" s="16" t="s">
        <v>236</v>
      </c>
      <c r="B18" s="14">
        <v>0</v>
      </c>
      <c r="C18" s="14">
        <v>0</v>
      </c>
      <c r="D18" s="14">
        <v>0</v>
      </c>
      <c r="E18" s="14">
        <v>-67000</v>
      </c>
      <c r="F18" s="14">
        <v>0</v>
      </c>
      <c r="G18" s="14">
        <v>0</v>
      </c>
      <c r="H18" s="14">
        <v>0</v>
      </c>
      <c r="I18" s="14">
        <v>0</v>
      </c>
      <c r="J18" s="14">
        <v>0</v>
      </c>
      <c r="K18" s="14">
        <v>0</v>
      </c>
      <c r="L18" s="14">
        <v>0</v>
      </c>
      <c r="M18" s="14">
        <v>0</v>
      </c>
      <c r="N18" s="14">
        <v>0</v>
      </c>
      <c r="O18" s="14">
        <v>-67000</v>
      </c>
    </row>
    <row r="19" spans="1:15" x14ac:dyDescent="0.2">
      <c r="A19" s="16" t="s">
        <v>237</v>
      </c>
      <c r="B19" s="14">
        <v>0</v>
      </c>
      <c r="C19" s="14">
        <v>0</v>
      </c>
      <c r="D19" s="14">
        <v>0</v>
      </c>
      <c r="E19" s="14">
        <v>123000</v>
      </c>
      <c r="F19" s="14">
        <v>0</v>
      </c>
      <c r="G19" s="14">
        <v>0</v>
      </c>
      <c r="H19" s="14">
        <v>-1055000</v>
      </c>
      <c r="I19" s="14">
        <v>0</v>
      </c>
      <c r="J19" s="14">
        <v>0</v>
      </c>
      <c r="K19" s="14">
        <v>0</v>
      </c>
      <c r="L19" s="14">
        <v>0</v>
      </c>
      <c r="M19" s="14">
        <v>0</v>
      </c>
      <c r="N19" s="14">
        <v>309000</v>
      </c>
      <c r="O19" s="14">
        <v>-623000</v>
      </c>
    </row>
    <row r="20" spans="1:15" x14ac:dyDescent="0.2">
      <c r="A20" s="17" t="s">
        <v>238</v>
      </c>
      <c r="B20" s="19">
        <v>7345000</v>
      </c>
      <c r="C20" s="19">
        <v>36792000</v>
      </c>
      <c r="D20" s="19">
        <v>0</v>
      </c>
      <c r="E20" s="19">
        <v>273000</v>
      </c>
      <c r="F20" s="19">
        <v>91959000</v>
      </c>
      <c r="G20" s="19">
        <v>0</v>
      </c>
      <c r="H20" s="19">
        <v>-7532000</v>
      </c>
      <c r="I20" s="19">
        <v>-96000</v>
      </c>
      <c r="J20" s="19">
        <v>14101000</v>
      </c>
      <c r="K20" s="19">
        <v>-1698000</v>
      </c>
      <c r="L20" s="19">
        <v>-37974000</v>
      </c>
      <c r="M20" s="19">
        <v>-1947000</v>
      </c>
      <c r="N20" s="19">
        <v>11525000</v>
      </c>
      <c r="O20" s="19">
        <v>112748000</v>
      </c>
    </row>
    <row r="21" spans="1:15" x14ac:dyDescent="0.2">
      <c r="A21" s="1" t="s">
        <v>239</v>
      </c>
      <c r="B21" s="1"/>
      <c r="C21" s="1"/>
      <c r="D21" s="1"/>
      <c r="E21" s="1"/>
      <c r="F21" s="1"/>
      <c r="G21" s="1"/>
      <c r="H21" s="1"/>
      <c r="I21" s="1"/>
      <c r="J21" s="1"/>
      <c r="K21" s="1"/>
      <c r="L21" s="1"/>
      <c r="M21" s="1"/>
      <c r="N21" s="1"/>
      <c r="O21" s="1"/>
    </row>
    <row r="23" spans="1:15" ht="18" customHeight="1" x14ac:dyDescent="0.2">
      <c r="A23" s="2" t="s">
        <v>240</v>
      </c>
      <c r="B23" s="2"/>
      <c r="C23" s="2"/>
      <c r="D23" s="2"/>
      <c r="E23" s="2"/>
      <c r="F23" s="2"/>
      <c r="G23" s="2"/>
      <c r="H23" s="2"/>
      <c r="I23" s="2"/>
      <c r="J23" s="2"/>
      <c r="K23" s="2"/>
      <c r="L23" s="2"/>
      <c r="M23" s="2"/>
      <c r="N23" s="2"/>
      <c r="O23" s="2"/>
    </row>
    <row r="24" spans="1:15" x14ac:dyDescent="0.2">
      <c r="A24" s="17" t="s">
        <v>241</v>
      </c>
      <c r="B24" s="19">
        <v>8092000</v>
      </c>
      <c r="C24" s="19">
        <v>44373000</v>
      </c>
      <c r="D24" s="19">
        <v>720000</v>
      </c>
      <c r="E24" s="19">
        <v>195000</v>
      </c>
      <c r="F24" s="19">
        <v>74114000</v>
      </c>
      <c r="G24" s="19">
        <v>0</v>
      </c>
      <c r="H24" s="19">
        <v>-5751000</v>
      </c>
      <c r="I24" s="19">
        <v>-1078000</v>
      </c>
      <c r="J24" s="19">
        <v>11076000</v>
      </c>
      <c r="K24" s="19">
        <v>-1298000</v>
      </c>
      <c r="L24" s="19">
        <v>-35020000</v>
      </c>
      <c r="M24" s="19">
        <v>-1559000</v>
      </c>
      <c r="N24" s="19">
        <v>10377000</v>
      </c>
      <c r="O24" s="19">
        <v>104241000</v>
      </c>
    </row>
    <row r="25" spans="1:15" x14ac:dyDescent="0.2">
      <c r="A25" s="16" t="s">
        <v>226</v>
      </c>
      <c r="B25" s="14">
        <v>0</v>
      </c>
      <c r="C25" s="14">
        <v>0</v>
      </c>
      <c r="D25" s="14">
        <v>0</v>
      </c>
      <c r="E25" s="14">
        <v>0</v>
      </c>
      <c r="F25" s="14">
        <v>0</v>
      </c>
      <c r="G25" s="14">
        <v>0</v>
      </c>
      <c r="H25" s="14">
        <v>0</v>
      </c>
      <c r="I25" s="14">
        <v>0</v>
      </c>
      <c r="J25" s="14">
        <v>0</v>
      </c>
      <c r="K25" s="14">
        <v>0</v>
      </c>
      <c r="L25" s="14">
        <v>0</v>
      </c>
      <c r="M25" s="14">
        <v>0</v>
      </c>
      <c r="N25" s="14">
        <v>0</v>
      </c>
      <c r="O25" s="14">
        <v>0</v>
      </c>
    </row>
    <row r="26" spans="1:15" x14ac:dyDescent="0.2">
      <c r="A26" s="16" t="s">
        <v>227</v>
      </c>
      <c r="B26" s="14">
        <v>0</v>
      </c>
      <c r="C26" s="14">
        <v>0</v>
      </c>
      <c r="D26" s="14">
        <v>0</v>
      </c>
      <c r="E26" s="14">
        <v>0</v>
      </c>
      <c r="F26" s="14">
        <v>0</v>
      </c>
      <c r="G26" s="14">
        <v>0</v>
      </c>
      <c r="H26" s="14">
        <v>0</v>
      </c>
      <c r="I26" s="14">
        <v>0</v>
      </c>
      <c r="J26" s="14">
        <v>0</v>
      </c>
      <c r="K26" s="14">
        <v>0</v>
      </c>
      <c r="L26" s="14">
        <v>0</v>
      </c>
      <c r="M26" s="14">
        <v>0</v>
      </c>
      <c r="N26" s="14">
        <v>0</v>
      </c>
      <c r="O26" s="14">
        <v>0</v>
      </c>
    </row>
    <row r="27" spans="1:15" x14ac:dyDescent="0.2">
      <c r="A27" s="17" t="s">
        <v>242</v>
      </c>
      <c r="B27" s="19">
        <v>8092000</v>
      </c>
      <c r="C27" s="19">
        <v>44373000</v>
      </c>
      <c r="D27" s="19">
        <v>720000</v>
      </c>
      <c r="E27" s="19">
        <v>195000</v>
      </c>
      <c r="F27" s="19">
        <v>74114000</v>
      </c>
      <c r="G27" s="19">
        <v>0</v>
      </c>
      <c r="H27" s="19">
        <v>-5751000</v>
      </c>
      <c r="I27" s="19">
        <v>-1078000</v>
      </c>
      <c r="J27" s="19">
        <v>11076000</v>
      </c>
      <c r="K27" s="19">
        <v>-1298000</v>
      </c>
      <c r="L27" s="19">
        <v>-35020000</v>
      </c>
      <c r="M27" s="19">
        <v>-1559000</v>
      </c>
      <c r="N27" s="19">
        <v>10377000</v>
      </c>
      <c r="O27" s="19">
        <v>104241000</v>
      </c>
    </row>
    <row r="28" spans="1:15" x14ac:dyDescent="0.2">
      <c r="A28" s="17" t="s">
        <v>229</v>
      </c>
      <c r="B28" s="19">
        <v>0</v>
      </c>
      <c r="C28" s="19">
        <v>0</v>
      </c>
      <c r="D28" s="19">
        <v>0</v>
      </c>
      <c r="E28" s="19">
        <v>0</v>
      </c>
      <c r="F28" s="19">
        <v>0</v>
      </c>
      <c r="G28" s="19">
        <v>0</v>
      </c>
      <c r="H28" s="19">
        <v>0</v>
      </c>
      <c r="I28" s="19">
        <v>0</v>
      </c>
      <c r="J28" s="19">
        <v>12574000</v>
      </c>
      <c r="K28" s="19">
        <v>0</v>
      </c>
      <c r="L28" s="19">
        <v>-1878000</v>
      </c>
      <c r="M28" s="19">
        <v>-461000</v>
      </c>
      <c r="N28" s="19">
        <v>1170000</v>
      </c>
      <c r="O28" s="19">
        <v>11405000</v>
      </c>
    </row>
    <row r="29" spans="1:15" x14ac:dyDescent="0.2">
      <c r="A29" s="16" t="s">
        <v>243</v>
      </c>
      <c r="B29" s="14">
        <v>0</v>
      </c>
      <c r="C29" s="14">
        <v>0</v>
      </c>
      <c r="D29" s="14">
        <v>-751000</v>
      </c>
      <c r="E29" s="14">
        <v>0</v>
      </c>
      <c r="F29" s="14">
        <v>0</v>
      </c>
      <c r="G29" s="14">
        <v>0</v>
      </c>
      <c r="H29" s="14">
        <v>0</v>
      </c>
      <c r="I29" s="14">
        <v>0</v>
      </c>
      <c r="J29" s="14">
        <v>0</v>
      </c>
      <c r="K29" s="14">
        <v>0</v>
      </c>
      <c r="L29" s="14">
        <v>0</v>
      </c>
      <c r="M29" s="14">
        <v>0</v>
      </c>
      <c r="N29" s="14">
        <v>-590000</v>
      </c>
      <c r="O29" s="14">
        <v>-1341000</v>
      </c>
    </row>
    <row r="30" spans="1:15" x14ac:dyDescent="0.2">
      <c r="A30" s="16" t="s">
        <v>230</v>
      </c>
      <c r="B30" s="14">
        <v>-516000</v>
      </c>
      <c r="C30" s="14">
        <v>-4294000</v>
      </c>
      <c r="D30" s="14">
        <v>0</v>
      </c>
      <c r="E30" s="14">
        <v>0</v>
      </c>
      <c r="F30" s="14">
        <v>0</v>
      </c>
      <c r="G30" s="14">
        <v>0</v>
      </c>
      <c r="H30" s="14">
        <v>516000</v>
      </c>
      <c r="I30" s="14">
        <v>4294000</v>
      </c>
      <c r="J30" s="14">
        <v>0</v>
      </c>
      <c r="K30" s="14">
        <v>0</v>
      </c>
      <c r="L30" s="14">
        <v>0</v>
      </c>
      <c r="M30" s="14">
        <v>0</v>
      </c>
      <c r="N30" s="14">
        <v>-93000</v>
      </c>
      <c r="O30" s="14">
        <v>-93000</v>
      </c>
    </row>
    <row r="31" spans="1:15" x14ac:dyDescent="0.2">
      <c r="A31" s="16" t="s">
        <v>231</v>
      </c>
      <c r="B31" s="14">
        <v>0</v>
      </c>
      <c r="C31" s="14">
        <v>0</v>
      </c>
      <c r="D31" s="14">
        <v>0</v>
      </c>
      <c r="E31" s="14">
        <v>0</v>
      </c>
      <c r="F31" s="14">
        <v>-1485000</v>
      </c>
      <c r="G31" s="14">
        <v>0</v>
      </c>
      <c r="H31" s="14">
        <v>0</v>
      </c>
      <c r="I31" s="14">
        <v>0</v>
      </c>
      <c r="J31" s="14">
        <v>0</v>
      </c>
      <c r="K31" s="14">
        <v>-1532000</v>
      </c>
      <c r="L31" s="14">
        <v>0</v>
      </c>
      <c r="M31" s="14">
        <v>0</v>
      </c>
      <c r="N31" s="14">
        <v>-660000</v>
      </c>
      <c r="O31" s="14">
        <v>-3677000</v>
      </c>
    </row>
    <row r="32" spans="1:15" x14ac:dyDescent="0.2">
      <c r="A32" s="16" t="s">
        <v>232</v>
      </c>
      <c r="B32" s="14">
        <v>0</v>
      </c>
      <c r="C32" s="14">
        <v>0</v>
      </c>
      <c r="D32" s="14">
        <v>0</v>
      </c>
      <c r="E32" s="14">
        <v>0</v>
      </c>
      <c r="F32" s="14">
        <v>0</v>
      </c>
      <c r="G32" s="14">
        <v>0</v>
      </c>
      <c r="H32" s="14">
        <v>0</v>
      </c>
      <c r="I32" s="14">
        <v>-4038000</v>
      </c>
      <c r="J32" s="14">
        <v>0</v>
      </c>
      <c r="K32" s="14">
        <v>0</v>
      </c>
      <c r="L32" s="14">
        <v>0</v>
      </c>
      <c r="M32" s="14">
        <v>0</v>
      </c>
      <c r="N32" s="14">
        <v>0</v>
      </c>
      <c r="O32" s="14">
        <v>-4038000</v>
      </c>
    </row>
    <row r="33" spans="1:15" x14ac:dyDescent="0.2">
      <c r="A33" s="16" t="s">
        <v>233</v>
      </c>
      <c r="B33" s="14">
        <v>0</v>
      </c>
      <c r="C33" s="14">
        <v>0</v>
      </c>
      <c r="D33" s="14">
        <v>0</v>
      </c>
      <c r="E33" s="14">
        <v>0</v>
      </c>
      <c r="F33" s="14">
        <v>0</v>
      </c>
      <c r="G33" s="14">
        <v>0</v>
      </c>
      <c r="H33" s="14">
        <v>8000</v>
      </c>
      <c r="I33" s="14">
        <v>754000</v>
      </c>
      <c r="J33" s="14">
        <v>0</v>
      </c>
      <c r="K33" s="14">
        <v>0</v>
      </c>
      <c r="L33" s="14">
        <v>0</v>
      </c>
      <c r="M33" s="14">
        <v>0</v>
      </c>
      <c r="N33" s="14">
        <v>0</v>
      </c>
      <c r="O33" s="14">
        <v>762000</v>
      </c>
    </row>
    <row r="34" spans="1:15" x14ac:dyDescent="0.2">
      <c r="A34" s="16" t="s">
        <v>234</v>
      </c>
      <c r="B34" s="14">
        <v>0</v>
      </c>
      <c r="C34" s="14">
        <v>0</v>
      </c>
      <c r="D34" s="14">
        <v>0</v>
      </c>
      <c r="E34" s="14">
        <v>0</v>
      </c>
      <c r="F34" s="14">
        <v>9697000</v>
      </c>
      <c r="G34" s="14">
        <v>0</v>
      </c>
      <c r="H34" s="14">
        <v>-215000</v>
      </c>
      <c r="I34" s="14">
        <v>0</v>
      </c>
      <c r="J34" s="14">
        <v>-11076000</v>
      </c>
      <c r="K34" s="14">
        <v>1298000</v>
      </c>
      <c r="L34" s="14">
        <v>303000</v>
      </c>
      <c r="M34" s="14">
        <v>0</v>
      </c>
      <c r="N34" s="14">
        <v>-7000</v>
      </c>
      <c r="O34" s="14">
        <v>0</v>
      </c>
    </row>
    <row r="35" spans="1:15" x14ac:dyDescent="0.2">
      <c r="A35" s="16" t="s">
        <v>235</v>
      </c>
      <c r="B35" s="14">
        <v>0</v>
      </c>
      <c r="C35" s="14">
        <v>0</v>
      </c>
      <c r="D35" s="14">
        <v>0</v>
      </c>
      <c r="E35" s="14">
        <v>0</v>
      </c>
      <c r="F35" s="14">
        <v>0</v>
      </c>
      <c r="G35" s="14">
        <v>0</v>
      </c>
      <c r="H35" s="14">
        <v>0</v>
      </c>
      <c r="I35" s="14">
        <v>0</v>
      </c>
      <c r="J35" s="14">
        <v>0</v>
      </c>
      <c r="K35" s="14">
        <v>0</v>
      </c>
      <c r="L35" s="14">
        <v>0</v>
      </c>
      <c r="M35" s="14">
        <v>0</v>
      </c>
      <c r="N35" s="14">
        <v>-8000</v>
      </c>
      <c r="O35" s="14">
        <v>-8000</v>
      </c>
    </row>
    <row r="36" spans="1:15" x14ac:dyDescent="0.2">
      <c r="A36" s="16" t="s">
        <v>236</v>
      </c>
      <c r="B36" s="14">
        <v>0</v>
      </c>
      <c r="C36" s="14">
        <v>0</v>
      </c>
      <c r="D36" s="14">
        <v>0</v>
      </c>
      <c r="E36" s="14">
        <v>-62000</v>
      </c>
      <c r="F36" s="14">
        <v>0</v>
      </c>
      <c r="G36" s="14">
        <v>0</v>
      </c>
      <c r="H36" s="14">
        <v>0</v>
      </c>
      <c r="I36" s="14">
        <v>0</v>
      </c>
      <c r="J36" s="14">
        <v>0</v>
      </c>
      <c r="K36" s="14">
        <v>0</v>
      </c>
      <c r="L36" s="14">
        <v>0</v>
      </c>
      <c r="M36" s="14">
        <v>0</v>
      </c>
      <c r="N36" s="14">
        <v>0</v>
      </c>
      <c r="O36" s="14">
        <v>-62000</v>
      </c>
    </row>
    <row r="37" spans="1:15" x14ac:dyDescent="0.2">
      <c r="A37" s="16" t="s">
        <v>237</v>
      </c>
      <c r="B37" s="14">
        <v>0</v>
      </c>
      <c r="C37" s="14">
        <v>0</v>
      </c>
      <c r="D37" s="14">
        <v>31000</v>
      </c>
      <c r="E37" s="14">
        <v>84000</v>
      </c>
      <c r="F37" s="14">
        <v>0</v>
      </c>
      <c r="G37" s="14">
        <v>0</v>
      </c>
      <c r="H37" s="14">
        <v>-534000</v>
      </c>
      <c r="I37" s="14">
        <v>0</v>
      </c>
      <c r="J37" s="14">
        <v>0</v>
      </c>
      <c r="K37" s="14">
        <v>0</v>
      </c>
      <c r="L37" s="14">
        <v>0</v>
      </c>
      <c r="M37" s="14">
        <v>0</v>
      </c>
      <c r="N37" s="14">
        <v>557000</v>
      </c>
      <c r="O37" s="14">
        <v>138000</v>
      </c>
    </row>
    <row r="38" spans="1:15" x14ac:dyDescent="0.2">
      <c r="A38" s="17" t="s">
        <v>225</v>
      </c>
      <c r="B38" s="19">
        <v>7576000</v>
      </c>
      <c r="C38" s="19">
        <v>40079000</v>
      </c>
      <c r="D38" s="19">
        <v>0</v>
      </c>
      <c r="E38" s="19">
        <v>217000</v>
      </c>
      <c r="F38" s="19">
        <v>82326000</v>
      </c>
      <c r="G38" s="19">
        <v>0</v>
      </c>
      <c r="H38" s="19">
        <v>-5976000</v>
      </c>
      <c r="I38" s="19">
        <v>-68000</v>
      </c>
      <c r="J38" s="19">
        <v>12574000</v>
      </c>
      <c r="K38" s="19">
        <v>-1532000</v>
      </c>
      <c r="L38" s="19">
        <v>-36595000</v>
      </c>
      <c r="M38" s="19">
        <v>-2020000</v>
      </c>
      <c r="N38" s="19">
        <v>10746000</v>
      </c>
      <c r="O38" s="19">
        <v>107327000</v>
      </c>
    </row>
    <row r="39" spans="1:15" x14ac:dyDescent="0.2">
      <c r="A39" s="1" t="s">
        <v>239</v>
      </c>
      <c r="B39" s="1"/>
      <c r="C39" s="1"/>
      <c r="D39" s="1"/>
      <c r="E39" s="1"/>
      <c r="F39" s="1"/>
      <c r="G39" s="1"/>
      <c r="H39" s="1"/>
      <c r="I39" s="1"/>
      <c r="J39" s="1"/>
      <c r="K39" s="1"/>
      <c r="L39" s="1"/>
      <c r="M39" s="1"/>
      <c r="N39" s="1"/>
      <c r="O39" s="1"/>
    </row>
    <row r="41" spans="1:15" x14ac:dyDescent="0.2">
      <c r="A41" s="12" t="s">
        <v>244</v>
      </c>
      <c r="B41" s="38">
        <f t="shared" ref="B41:O41" si="0">B10+B11+B12+B13+B14+B15+B16+B17+B18+B19</f>
        <v>7345000</v>
      </c>
      <c r="C41" s="39">
        <f t="shared" si="0"/>
        <v>36792000</v>
      </c>
      <c r="D41" s="39">
        <f t="shared" si="0"/>
        <v>0</v>
      </c>
      <c r="E41" s="39">
        <f t="shared" si="0"/>
        <v>273000</v>
      </c>
      <c r="F41" s="40">
        <f t="shared" si="0"/>
        <v>91959000</v>
      </c>
      <c r="G41" s="41">
        <f t="shared" si="0"/>
        <v>0</v>
      </c>
      <c r="H41" s="41">
        <f t="shared" si="0"/>
        <v>-7532000</v>
      </c>
      <c r="I41" s="41">
        <f t="shared" si="0"/>
        <v>-96000</v>
      </c>
      <c r="J41" s="41">
        <f t="shared" si="0"/>
        <v>14101000</v>
      </c>
      <c r="K41" s="41">
        <f t="shared" si="0"/>
        <v>-1698000</v>
      </c>
      <c r="L41" s="41">
        <f t="shared" si="0"/>
        <v>-37974000</v>
      </c>
      <c r="M41" s="41">
        <f t="shared" si="0"/>
        <v>-1947000</v>
      </c>
      <c r="N41" s="41">
        <f t="shared" si="0"/>
        <v>11525000</v>
      </c>
      <c r="O41" s="41">
        <f t="shared" si="0"/>
        <v>112748000</v>
      </c>
    </row>
    <row r="42" spans="1:15" x14ac:dyDescent="0.2">
      <c r="A42" s="12" t="s">
        <v>245</v>
      </c>
      <c r="B42" s="42">
        <f t="shared" ref="B42:O42" si="1">B41-B20</f>
        <v>0</v>
      </c>
      <c r="C42" s="36">
        <f t="shared" si="1"/>
        <v>0</v>
      </c>
      <c r="D42" s="36">
        <f t="shared" si="1"/>
        <v>0</v>
      </c>
      <c r="E42" s="36">
        <f t="shared" si="1"/>
        <v>0</v>
      </c>
      <c r="F42" s="43">
        <f t="shared" si="1"/>
        <v>0</v>
      </c>
      <c r="G42" s="44">
        <f t="shared" si="1"/>
        <v>0</v>
      </c>
      <c r="H42" s="44">
        <f t="shared" si="1"/>
        <v>0</v>
      </c>
      <c r="I42" s="44">
        <f t="shared" si="1"/>
        <v>0</v>
      </c>
      <c r="J42" s="44">
        <f t="shared" si="1"/>
        <v>0</v>
      </c>
      <c r="K42" s="44">
        <f t="shared" si="1"/>
        <v>0</v>
      </c>
      <c r="L42" s="44">
        <f t="shared" si="1"/>
        <v>0</v>
      </c>
      <c r="M42" s="44">
        <f t="shared" si="1"/>
        <v>0</v>
      </c>
      <c r="N42" s="44">
        <f t="shared" si="1"/>
        <v>0</v>
      </c>
      <c r="O42" s="44">
        <f t="shared" si="1"/>
        <v>0</v>
      </c>
    </row>
    <row r="44" spans="1:15" x14ac:dyDescent="0.2">
      <c r="A44" s="12" t="s">
        <v>246</v>
      </c>
      <c r="B44" s="38">
        <f t="shared" ref="B44:O44" si="2">B27+B28+B29+B30+B31+B32+B33+B34+B35+B36+B37</f>
        <v>7576000</v>
      </c>
      <c r="C44" s="39">
        <f t="shared" si="2"/>
        <v>40079000</v>
      </c>
      <c r="D44" s="39">
        <f t="shared" si="2"/>
        <v>0</v>
      </c>
      <c r="E44" s="39">
        <f t="shared" si="2"/>
        <v>217000</v>
      </c>
      <c r="F44" s="40">
        <f t="shared" si="2"/>
        <v>82326000</v>
      </c>
      <c r="G44" s="41">
        <f t="shared" si="2"/>
        <v>0</v>
      </c>
      <c r="H44" s="41">
        <f t="shared" si="2"/>
        <v>-5976000</v>
      </c>
      <c r="I44" s="41">
        <f t="shared" si="2"/>
        <v>-68000</v>
      </c>
      <c r="J44" s="41">
        <f t="shared" si="2"/>
        <v>12574000</v>
      </c>
      <c r="K44" s="41">
        <f t="shared" si="2"/>
        <v>-1532000</v>
      </c>
      <c r="L44" s="41">
        <f t="shared" si="2"/>
        <v>-36595000</v>
      </c>
      <c r="M44" s="41">
        <f t="shared" si="2"/>
        <v>-2020000</v>
      </c>
      <c r="N44" s="41">
        <f t="shared" si="2"/>
        <v>10746000</v>
      </c>
      <c r="O44" s="41">
        <f t="shared" si="2"/>
        <v>107327000</v>
      </c>
    </row>
    <row r="45" spans="1:15" x14ac:dyDescent="0.2">
      <c r="A45" s="12" t="s">
        <v>247</v>
      </c>
      <c r="B45" s="42">
        <f t="shared" ref="B45:O45" si="3">B44-B38</f>
        <v>0</v>
      </c>
      <c r="C45" s="36">
        <f t="shared" si="3"/>
        <v>0</v>
      </c>
      <c r="D45" s="36">
        <f t="shared" si="3"/>
        <v>0</v>
      </c>
      <c r="E45" s="36">
        <f t="shared" si="3"/>
        <v>0</v>
      </c>
      <c r="F45" s="43">
        <f t="shared" si="3"/>
        <v>0</v>
      </c>
      <c r="G45" s="44">
        <f t="shared" si="3"/>
        <v>0</v>
      </c>
      <c r="H45" s="44">
        <f t="shared" si="3"/>
        <v>0</v>
      </c>
      <c r="I45" s="44">
        <f t="shared" si="3"/>
        <v>0</v>
      </c>
      <c r="J45" s="44">
        <f t="shared" si="3"/>
        <v>0</v>
      </c>
      <c r="K45" s="44">
        <f t="shared" si="3"/>
        <v>0</v>
      </c>
      <c r="L45" s="44">
        <f t="shared" si="3"/>
        <v>0</v>
      </c>
      <c r="M45" s="44">
        <f t="shared" si="3"/>
        <v>0</v>
      </c>
      <c r="N45" s="44">
        <f t="shared" si="3"/>
        <v>0</v>
      </c>
      <c r="O45" s="44">
        <f t="shared" si="3"/>
        <v>0</v>
      </c>
    </row>
  </sheetData>
  <mergeCells count="7">
    <mergeCell ref="A23:O23"/>
    <mergeCell ref="A39:O39"/>
    <mergeCell ref="A1:O1"/>
    <mergeCell ref="A2:O2"/>
    <mergeCell ref="A3:O3"/>
    <mergeCell ref="A6:O6"/>
    <mergeCell ref="A21:O21"/>
  </mergeCells>
  <conditionalFormatting sqref="B42:O42">
    <cfRule type="expression" dxfId="4" priority="2">
      <formula>ROUND(B42,0)&lt;&gt;0</formula>
    </cfRule>
  </conditionalFormatting>
  <conditionalFormatting sqref="B45:O45">
    <cfRule type="expression" dxfId="3" priority="3">
      <formula>ROUND(B45,0)&lt;&gt;0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D61"/>
  <sheetViews>
    <sheetView tabSelected="1" zoomScaleNormal="100" workbookViewId="0">
      <pane xSplit="1" ySplit="5" topLeftCell="B36" activePane="bottomRight" state="frozen"/>
      <selection pane="topRight" activeCell="B1" sqref="B1"/>
      <selection pane="bottomLeft" activeCell="A6" sqref="A6"/>
      <selection pane="bottomRight" activeCell="B57" sqref="B57"/>
    </sheetView>
  </sheetViews>
  <sheetFormatPr baseColWidth="10" defaultColWidth="8.6640625" defaultRowHeight="15" x14ac:dyDescent="0.2"/>
  <cols>
    <col min="1" max="1" width="62" customWidth="1"/>
    <col min="2" max="3" width="17" customWidth="1"/>
    <col min="4" max="4" width="78" customWidth="1"/>
  </cols>
  <sheetData>
    <row r="1" spans="1:4" ht="25.5" customHeight="1" x14ac:dyDescent="0.2">
      <c r="A1" s="5" t="s">
        <v>248</v>
      </c>
      <c r="B1" s="5"/>
      <c r="C1" s="5"/>
      <c r="D1" s="5"/>
    </row>
    <row r="2" spans="1:4" ht="15" customHeight="1" x14ac:dyDescent="0.2">
      <c r="A2" s="4" t="s">
        <v>249</v>
      </c>
      <c r="B2" s="4"/>
      <c r="C2" s="4"/>
      <c r="D2" s="4"/>
    </row>
    <row r="3" spans="1:4" ht="15" customHeight="1" x14ac:dyDescent="0.2">
      <c r="A3" s="3" t="s">
        <v>23</v>
      </c>
      <c r="B3" s="3"/>
      <c r="C3" s="3"/>
      <c r="D3" s="3"/>
    </row>
    <row r="5" spans="1:4" ht="27.75" customHeight="1" x14ac:dyDescent="0.2">
      <c r="A5" s="10" t="s">
        <v>24</v>
      </c>
      <c r="B5" s="11" t="s">
        <v>26</v>
      </c>
      <c r="C5" s="11" t="s">
        <v>27</v>
      </c>
      <c r="D5" s="11" t="s">
        <v>250</v>
      </c>
    </row>
    <row r="6" spans="1:4" ht="18" customHeight="1" x14ac:dyDescent="0.2">
      <c r="A6" s="2" t="s">
        <v>251</v>
      </c>
      <c r="B6" s="2"/>
      <c r="C6" s="2"/>
      <c r="D6" s="2"/>
    </row>
    <row r="7" spans="1:4" x14ac:dyDescent="0.2">
      <c r="A7" s="16" t="s">
        <v>252</v>
      </c>
      <c r="B7" s="45">
        <f>'P&amp;L'!C49</f>
        <v>15500000</v>
      </c>
      <c r="C7" s="45">
        <f>'P&amp;L'!D49</f>
        <v>13744000</v>
      </c>
      <c r="D7" s="46" t="s">
        <v>253</v>
      </c>
    </row>
    <row r="8" spans="1:4" ht="18" customHeight="1" x14ac:dyDescent="0.2">
      <c r="A8" s="2" t="s">
        <v>254</v>
      </c>
      <c r="B8" s="2"/>
      <c r="C8" s="2"/>
      <c r="D8" s="2"/>
    </row>
    <row r="9" spans="1:4" ht="27.75" customHeight="1" x14ac:dyDescent="0.2">
      <c r="A9" s="16" t="s">
        <v>255</v>
      </c>
      <c r="B9" s="45">
        <f>-('P&amp;L'!C32)</f>
        <v>3178000</v>
      </c>
      <c r="C9" s="45">
        <f>-('P&amp;L'!D32)</f>
        <v>3179000</v>
      </c>
      <c r="D9" s="46" t="s">
        <v>256</v>
      </c>
    </row>
    <row r="10" spans="1:4" x14ac:dyDescent="0.2">
      <c r="A10" s="16" t="s">
        <v>257</v>
      </c>
      <c r="B10" s="45">
        <f>-('P&amp;L'!C38)</f>
        <v>251000</v>
      </c>
      <c r="C10" s="45">
        <f>-('P&amp;L'!D38)</f>
        <v>624000</v>
      </c>
      <c r="D10" s="46" t="s">
        <v>258</v>
      </c>
    </row>
    <row r="11" spans="1:4" ht="27.75" customHeight="1" x14ac:dyDescent="0.2">
      <c r="A11" s="16" t="s">
        <v>259</v>
      </c>
      <c r="B11" s="45">
        <f>-('P&amp;L'!C13)</f>
        <v>-665000</v>
      </c>
      <c r="C11" s="45">
        <f>-('P&amp;L'!D13)</f>
        <v>-687000</v>
      </c>
      <c r="D11" s="46" t="s">
        <v>260</v>
      </c>
    </row>
    <row r="12" spans="1:4" ht="27.75" customHeight="1" x14ac:dyDescent="0.2">
      <c r="A12" s="16" t="s">
        <v>261</v>
      </c>
      <c r="B12" s="45">
        <f>-('P&amp;L'!C42)</f>
        <v>0</v>
      </c>
      <c r="C12" s="45">
        <f>-('P&amp;L'!D42)</f>
        <v>-368000</v>
      </c>
      <c r="D12" s="46" t="s">
        <v>262</v>
      </c>
    </row>
    <row r="13" spans="1:4" x14ac:dyDescent="0.2">
      <c r="A13" s="16" t="s">
        <v>263</v>
      </c>
      <c r="B13" s="45">
        <f>-('P&amp;L'!C43)</f>
        <v>-22000</v>
      </c>
      <c r="C13" s="45">
        <f>-('P&amp;L'!D43)</f>
        <v>0</v>
      </c>
      <c r="D13" s="46" t="s">
        <v>264</v>
      </c>
    </row>
    <row r="14" spans="1:4" ht="27.75" customHeight="1" x14ac:dyDescent="0.2">
      <c r="A14" s="16" t="s">
        <v>265</v>
      </c>
      <c r="B14" s="45">
        <f>-('P&amp;L'!C44)</f>
        <v>-226000</v>
      </c>
      <c r="C14" s="45">
        <f>-('P&amp;L'!D44)</f>
        <v>27000</v>
      </c>
      <c r="D14" s="46" t="s">
        <v>266</v>
      </c>
    </row>
    <row r="15" spans="1:4" x14ac:dyDescent="0.2">
      <c r="A15" s="17" t="s">
        <v>267</v>
      </c>
      <c r="B15" s="19">
        <f>SUM(B7:B14)</f>
        <v>18016000</v>
      </c>
      <c r="C15" s="19">
        <f>SUM(C7:C14)</f>
        <v>16519000</v>
      </c>
      <c r="D15" s="47" t="s">
        <v>268</v>
      </c>
    </row>
    <row r="16" spans="1:4" ht="18" customHeight="1" x14ac:dyDescent="0.2">
      <c r="A16" s="2" t="s">
        <v>269</v>
      </c>
      <c r="B16" s="2"/>
      <c r="C16" s="2"/>
      <c r="D16" s="2"/>
    </row>
    <row r="17" spans="1:4" x14ac:dyDescent="0.2">
      <c r="A17" s="16" t="s">
        <v>270</v>
      </c>
      <c r="B17" s="48">
        <f>-('Balance Sheet'!C8-'Balance Sheet'!D8)</f>
        <v>-22065000</v>
      </c>
      <c r="C17" s="48">
        <f>-('Balance Sheet'!D8-'Balance Sheet'!E8)</f>
        <v>-53332000</v>
      </c>
      <c r="D17" s="46" t="s">
        <v>271</v>
      </c>
    </row>
    <row r="18" spans="1:4" x14ac:dyDescent="0.2">
      <c r="A18" s="16" t="s">
        <v>272</v>
      </c>
      <c r="B18" s="48">
        <f>-('Balance Sheet'!C16-'Balance Sheet'!D16)</f>
        <v>-1631000</v>
      </c>
      <c r="C18" s="48">
        <f>-('Balance Sheet'!D16-'Balance Sheet'!E16)</f>
        <v>-220000</v>
      </c>
      <c r="D18" s="46" t="s">
        <v>273</v>
      </c>
    </row>
    <row r="19" spans="1:4" x14ac:dyDescent="0.2">
      <c r="A19" s="16" t="s">
        <v>274</v>
      </c>
      <c r="B19" s="48">
        <f>-('Balance Sheet'!C23-'Balance Sheet'!D23)</f>
        <v>-131000</v>
      </c>
      <c r="C19" s="48">
        <f>-('Balance Sheet'!D23-'Balance Sheet'!E23)</f>
        <v>1858000</v>
      </c>
      <c r="D19" s="46" t="s">
        <v>273</v>
      </c>
    </row>
    <row r="20" spans="1:4" x14ac:dyDescent="0.2">
      <c r="A20" s="16" t="s">
        <v>275</v>
      </c>
      <c r="B20" s="48">
        <f>-('Balance Sheet'!C29-'Balance Sheet'!D29)</f>
        <v>15286000</v>
      </c>
      <c r="C20" s="48">
        <f>-('Balance Sheet'!D29-'Balance Sheet'!E29)</f>
        <v>-6590000</v>
      </c>
      <c r="D20" s="46" t="s">
        <v>273</v>
      </c>
    </row>
    <row r="21" spans="1:4" ht="27.75" customHeight="1" x14ac:dyDescent="0.2">
      <c r="A21" s="16" t="s">
        <v>276</v>
      </c>
      <c r="B21" s="48">
        <f>-('Balance Sheet'!C36-'Balance Sheet'!D36)</f>
        <v>1018000</v>
      </c>
      <c r="C21" s="48">
        <f>-('Balance Sheet'!D36-'Balance Sheet'!E36)</f>
        <v>-12304000</v>
      </c>
      <c r="D21" s="46" t="s">
        <v>277</v>
      </c>
    </row>
    <row r="22" spans="1:4" x14ac:dyDescent="0.2">
      <c r="A22" s="16" t="s">
        <v>278</v>
      </c>
      <c r="B22" s="48">
        <f>-('Balance Sheet'!C42-'Balance Sheet'!D42)</f>
        <v>1741000</v>
      </c>
      <c r="C22" s="48">
        <f>-('Balance Sheet'!D42-'Balance Sheet'!E42)</f>
        <v>-375000</v>
      </c>
      <c r="D22" s="46" t="s">
        <v>273</v>
      </c>
    </row>
    <row r="23" spans="1:4" x14ac:dyDescent="0.2">
      <c r="A23" s="16" t="s">
        <v>279</v>
      </c>
      <c r="B23" s="48">
        <f>-('Balance Sheet'!C43-'Balance Sheet'!D43)</f>
        <v>-754000</v>
      </c>
      <c r="C23" s="48">
        <f>-('Balance Sheet'!D43-'Balance Sheet'!E43)</f>
        <v>-84000</v>
      </c>
      <c r="D23" s="46" t="s">
        <v>273</v>
      </c>
    </row>
    <row r="24" spans="1:4" x14ac:dyDescent="0.2">
      <c r="A24" s="16" t="s">
        <v>280</v>
      </c>
      <c r="B24" s="48">
        <f>-('Balance Sheet'!C47-'Balance Sheet'!D47)</f>
        <v>-1000</v>
      </c>
      <c r="C24" s="48">
        <f>-('Balance Sheet'!D47-'Balance Sheet'!E47)</f>
        <v>15000</v>
      </c>
      <c r="D24" s="46" t="s">
        <v>273</v>
      </c>
    </row>
    <row r="25" spans="1:4" x14ac:dyDescent="0.2">
      <c r="A25" s="16" t="s">
        <v>281</v>
      </c>
      <c r="B25" s="48">
        <f>-('Balance Sheet'!C60-'Balance Sheet'!D60)</f>
        <v>-160000</v>
      </c>
      <c r="C25" s="48">
        <f>-('Balance Sheet'!D60-'Balance Sheet'!E60)</f>
        <v>297000</v>
      </c>
      <c r="D25" s="46" t="s">
        <v>273</v>
      </c>
    </row>
    <row r="26" spans="1:4" x14ac:dyDescent="0.2">
      <c r="A26" s="16" t="s">
        <v>282</v>
      </c>
      <c r="B26" s="48">
        <f>-('Balance Sheet'!C57-'Balance Sheet'!D57)</f>
        <v>520000</v>
      </c>
      <c r="C26" s="48">
        <f>-('Balance Sheet'!D57-'Balance Sheet'!E57)</f>
        <v>794000</v>
      </c>
      <c r="D26" s="46" t="s">
        <v>283</v>
      </c>
    </row>
    <row r="27" spans="1:4" x14ac:dyDescent="0.2">
      <c r="A27" s="16" t="s">
        <v>284</v>
      </c>
      <c r="B27" s="48">
        <f>'Balance Sheet'!C70-'Balance Sheet'!D70</f>
        <v>19395000</v>
      </c>
      <c r="C27" s="48">
        <f>'Balance Sheet'!D70-'Balance Sheet'!E70</f>
        <v>29881000</v>
      </c>
      <c r="D27" s="46" t="s">
        <v>271</v>
      </c>
    </row>
    <row r="28" spans="1:4" ht="27.75" customHeight="1" x14ac:dyDescent="0.2">
      <c r="A28" s="16" t="s">
        <v>285</v>
      </c>
      <c r="B28" s="48">
        <f>('Balance Sheet'!C79-'Balance Sheet'!D79)-('Balance Sheet'!C84-'Balance Sheet'!D84)</f>
        <v>1656000</v>
      </c>
      <c r="C28" s="48">
        <f>('Balance Sheet'!D79-'Balance Sheet'!E79)-('Balance Sheet'!D84-'Balance Sheet'!E84)</f>
        <v>-6190000</v>
      </c>
      <c r="D28" s="46" t="s">
        <v>286</v>
      </c>
    </row>
    <row r="29" spans="1:4" ht="27.75" customHeight="1" x14ac:dyDescent="0.2">
      <c r="A29" s="16" t="s">
        <v>287</v>
      </c>
      <c r="B29" s="48">
        <f>('Balance Sheet'!C87-'Balance Sheet'!D87)-('Balance Sheet'!C92-'Balance Sheet'!D92)</f>
        <v>-57875000</v>
      </c>
      <c r="C29" s="48">
        <f>('Balance Sheet'!D87-'Balance Sheet'!E87)-('Balance Sheet'!D92-'Balance Sheet'!E92)</f>
        <v>860000</v>
      </c>
      <c r="D29" s="46" t="s">
        <v>288</v>
      </c>
    </row>
    <row r="30" spans="1:4" x14ac:dyDescent="0.2">
      <c r="A30" s="16" t="s">
        <v>289</v>
      </c>
      <c r="B30" s="48">
        <f>'Balance Sheet'!C95-'Balance Sheet'!D95</f>
        <v>-504000</v>
      </c>
      <c r="C30" s="48">
        <f>'Balance Sheet'!D95-'Balance Sheet'!E95</f>
        <v>-2904000</v>
      </c>
      <c r="D30" s="46" t="s">
        <v>273</v>
      </c>
    </row>
    <row r="31" spans="1:4" x14ac:dyDescent="0.2">
      <c r="A31" s="16" t="s">
        <v>290</v>
      </c>
      <c r="B31" s="48">
        <f>'Balance Sheet'!C96-'Balance Sheet'!D96</f>
        <v>58000</v>
      </c>
      <c r="C31" s="48">
        <f>'Balance Sheet'!D96-'Balance Sheet'!E96</f>
        <v>-64000</v>
      </c>
      <c r="D31" s="46" t="s">
        <v>273</v>
      </c>
    </row>
    <row r="32" spans="1:4" x14ac:dyDescent="0.2">
      <c r="A32" s="16" t="s">
        <v>291</v>
      </c>
      <c r="B32" s="48">
        <f>'Balance Sheet'!C97-'Balance Sheet'!D97</f>
        <v>908000</v>
      </c>
      <c r="C32" s="48">
        <f>'Balance Sheet'!D97-'Balance Sheet'!E97</f>
        <v>30000</v>
      </c>
      <c r="D32" s="46" t="s">
        <v>273</v>
      </c>
    </row>
    <row r="33" spans="1:4" ht="27.75" customHeight="1" x14ac:dyDescent="0.2">
      <c r="A33" s="16" t="s">
        <v>292</v>
      </c>
      <c r="B33" s="48">
        <f>'Balance Sheet'!C98-'Balance Sheet'!D98</f>
        <v>-52000</v>
      </c>
      <c r="C33" s="48">
        <f>'Balance Sheet'!D98-'Balance Sheet'!E98</f>
        <v>-34000</v>
      </c>
      <c r="D33" s="46" t="s">
        <v>293</v>
      </c>
    </row>
    <row r="34" spans="1:4" x14ac:dyDescent="0.2">
      <c r="A34" s="16" t="s">
        <v>294</v>
      </c>
      <c r="B34" s="48">
        <f>'Balance Sheet'!C104-'Balance Sheet'!D104</f>
        <v>-30000</v>
      </c>
      <c r="C34" s="48">
        <f>'Balance Sheet'!D104-'Balance Sheet'!E104</f>
        <v>-334000</v>
      </c>
      <c r="D34" s="46" t="s">
        <v>283</v>
      </c>
    </row>
    <row r="35" spans="1:4" x14ac:dyDescent="0.2">
      <c r="A35" s="16" t="s">
        <v>295</v>
      </c>
      <c r="B35" s="48">
        <f>'Balance Sheet'!C107-'Balance Sheet'!D107</f>
        <v>-407000</v>
      </c>
      <c r="C35" s="48">
        <f>'Balance Sheet'!D107-'Balance Sheet'!E107</f>
        <v>-1254000</v>
      </c>
      <c r="D35" s="46" t="s">
        <v>273</v>
      </c>
    </row>
    <row r="36" spans="1:4" x14ac:dyDescent="0.2">
      <c r="A36" s="17" t="s">
        <v>296</v>
      </c>
      <c r="B36" s="19">
        <f>SUM(B17:B35)</f>
        <v>-43028000</v>
      </c>
      <c r="C36" s="19">
        <f>SUM(C17:C35)</f>
        <v>-49950000</v>
      </c>
      <c r="D36" s="47" t="s">
        <v>297</v>
      </c>
    </row>
    <row r="37" spans="1:4" x14ac:dyDescent="0.2">
      <c r="A37" s="21" t="s">
        <v>298</v>
      </c>
      <c r="B37" s="23">
        <f>B15+B36</f>
        <v>-25012000</v>
      </c>
      <c r="C37" s="23">
        <f>C15+C36</f>
        <v>-33431000</v>
      </c>
      <c r="D37" s="49" t="s">
        <v>299</v>
      </c>
    </row>
    <row r="38" spans="1:4" ht="18" customHeight="1" x14ac:dyDescent="0.2">
      <c r="A38" s="2" t="s">
        <v>300</v>
      </c>
      <c r="B38" s="2"/>
      <c r="C38" s="2"/>
      <c r="D38" s="2"/>
    </row>
    <row r="39" spans="1:4" ht="27.75" customHeight="1" x14ac:dyDescent="0.2">
      <c r="A39" s="16" t="s">
        <v>301</v>
      </c>
      <c r="B39" s="48">
        <f>('P&amp;L'!C13)-('Balance Sheet'!C44-'Balance Sheet'!D44)</f>
        <v>890000</v>
      </c>
      <c r="C39" s="48">
        <f>('P&amp;L'!D13)-('Balance Sheet'!D44-'Balance Sheet'!E44)</f>
        <v>1056000</v>
      </c>
      <c r="D39" s="46" t="s">
        <v>302</v>
      </c>
    </row>
    <row r="40" spans="1:4" ht="27.75" customHeight="1" x14ac:dyDescent="0.2">
      <c r="A40" s="16" t="s">
        <v>303</v>
      </c>
      <c r="B40" s="48">
        <f>-(('Balance Sheet'!C48-'Balance Sheet'!D48)+('Balance Sheet'!C54-'Balance Sheet'!D54))+('P&amp;L'!C32)+('P&amp;L'!C38)</f>
        <v>3171000</v>
      </c>
      <c r="C40" s="48">
        <f>-(('Balance Sheet'!D48-'Balance Sheet'!E48)+('Balance Sheet'!D54-'Balance Sheet'!E54))+('P&amp;L'!D32)+('P&amp;L'!D38)</f>
        <v>-1396000</v>
      </c>
      <c r="D40" s="46" t="s">
        <v>304</v>
      </c>
    </row>
    <row r="41" spans="1:4" ht="27.75" customHeight="1" x14ac:dyDescent="0.2">
      <c r="A41" s="16" t="s">
        <v>305</v>
      </c>
      <c r="B41" s="48">
        <f>-('Balance Sheet'!C64-'Balance Sheet'!D64)+('Balance Sheet'!C108-'Balance Sheet'!D108)</f>
        <v>-8014000</v>
      </c>
      <c r="C41" s="48">
        <f>-('Balance Sheet'!D64-'Balance Sheet'!E64)+('Balance Sheet'!D108-'Balance Sheet'!E108)</f>
        <v>-988000</v>
      </c>
      <c r="D41" s="46" t="s">
        <v>306</v>
      </c>
    </row>
    <row r="42" spans="1:4" x14ac:dyDescent="0.2">
      <c r="A42" s="21" t="s">
        <v>307</v>
      </c>
      <c r="B42" s="23">
        <f>SUM(B39:B41)</f>
        <v>-3953000</v>
      </c>
      <c r="C42" s="23">
        <f>SUM(C39:C41)</f>
        <v>-1328000</v>
      </c>
      <c r="D42" s="49" t="s">
        <v>308</v>
      </c>
    </row>
    <row r="43" spans="1:4" ht="18" customHeight="1" x14ac:dyDescent="0.2">
      <c r="A43" s="2" t="s">
        <v>309</v>
      </c>
      <c r="B43" s="2"/>
      <c r="C43" s="2"/>
      <c r="D43" s="2"/>
    </row>
    <row r="44" spans="1:4" ht="27.75" customHeight="1" x14ac:dyDescent="0.2">
      <c r="A44" s="16" t="s">
        <v>310</v>
      </c>
      <c r="B44" s="48">
        <f>('Balance Sheet'!C77-'Balance Sheet'!D77)+('Balance Sheet'!C84-'Balance Sheet'!D84)+('Balance Sheet'!C92-'Balance Sheet'!D92)</f>
        <v>-1131000</v>
      </c>
      <c r="C44" s="48">
        <f>('Balance Sheet'!D77-'Balance Sheet'!E77)+('Balance Sheet'!D84-'Balance Sheet'!E84)+('Balance Sheet'!D92-'Balance Sheet'!E92)</f>
        <v>16942000</v>
      </c>
      <c r="D44" s="46" t="s">
        <v>311</v>
      </c>
    </row>
    <row r="45" spans="1:4" ht="27.75" customHeight="1" x14ac:dyDescent="0.2">
      <c r="A45" s="16" t="s">
        <v>312</v>
      </c>
      <c r="B45" s="45">
        <f>'Equity Rollforward'!O12</f>
        <v>-8000</v>
      </c>
      <c r="C45" s="45">
        <f>'Equity Rollforward'!O30</f>
        <v>-93000</v>
      </c>
      <c r="D45" s="46" t="s">
        <v>313</v>
      </c>
    </row>
    <row r="46" spans="1:4" x14ac:dyDescent="0.2">
      <c r="A46" s="16" t="s">
        <v>314</v>
      </c>
      <c r="B46" s="45">
        <f>'Equity Rollforward'!O13</f>
        <v>-4237000</v>
      </c>
      <c r="C46" s="45">
        <f>'Equity Rollforward'!O31</f>
        <v>-3677000</v>
      </c>
      <c r="D46" s="46" t="s">
        <v>315</v>
      </c>
    </row>
    <row r="47" spans="1:4" x14ac:dyDescent="0.2">
      <c r="A47" s="16" t="s">
        <v>232</v>
      </c>
      <c r="B47" s="45">
        <f>'Equity Rollforward'!O14</f>
        <v>-4081000</v>
      </c>
      <c r="C47" s="45">
        <f>'Equity Rollforward'!O32</f>
        <v>-4038000</v>
      </c>
      <c r="D47" s="46" t="s">
        <v>315</v>
      </c>
    </row>
    <row r="48" spans="1:4" x14ac:dyDescent="0.2">
      <c r="A48" s="16" t="s">
        <v>233</v>
      </c>
      <c r="B48" s="45">
        <f>'Equity Rollforward'!O15</f>
        <v>800000</v>
      </c>
      <c r="C48" s="45">
        <f>'Equity Rollforward'!O33</f>
        <v>762000</v>
      </c>
      <c r="D48" s="46" t="s">
        <v>315</v>
      </c>
    </row>
    <row r="49" spans="1:4" ht="27.75" customHeight="1" x14ac:dyDescent="0.2">
      <c r="A49" s="16" t="s">
        <v>316</v>
      </c>
      <c r="B49" s="45">
        <f>0</f>
        <v>0</v>
      </c>
      <c r="C49" s="45">
        <f>'Equity Rollforward'!O29</f>
        <v>-1341000</v>
      </c>
      <c r="D49" s="46" t="s">
        <v>317</v>
      </c>
    </row>
    <row r="50" spans="1:4" x14ac:dyDescent="0.2">
      <c r="A50" s="16" t="s">
        <v>318</v>
      </c>
      <c r="B50" s="45">
        <f>'Equity Rollforward'!O17</f>
        <v>-5000</v>
      </c>
      <c r="C50" s="45">
        <f>'Equity Rollforward'!O35</f>
        <v>-8000</v>
      </c>
      <c r="D50" s="46" t="s">
        <v>315</v>
      </c>
    </row>
    <row r="51" spans="1:4" ht="27.75" customHeight="1" x14ac:dyDescent="0.2">
      <c r="A51" s="16" t="s">
        <v>319</v>
      </c>
      <c r="B51" s="45">
        <f>'Equity Rollforward'!O19</f>
        <v>-623000</v>
      </c>
      <c r="C51" s="45">
        <f>'Equity Rollforward'!O37</f>
        <v>138000</v>
      </c>
      <c r="D51" s="46" t="s">
        <v>320</v>
      </c>
    </row>
    <row r="52" spans="1:4" ht="26" x14ac:dyDescent="0.2">
      <c r="A52" s="50" t="s">
        <v>321</v>
      </c>
      <c r="B52" s="51"/>
      <c r="C52" s="51"/>
      <c r="D52" s="51"/>
    </row>
    <row r="53" spans="1:4" x14ac:dyDescent="0.2">
      <c r="A53" s="21" t="s">
        <v>322</v>
      </c>
      <c r="B53" s="23">
        <f>SUM(B44:B51)</f>
        <v>-9285000</v>
      </c>
      <c r="C53" s="23">
        <f>SUM(C44:C51)</f>
        <v>8685000</v>
      </c>
      <c r="D53" s="49" t="s">
        <v>323</v>
      </c>
    </row>
    <row r="54" spans="1:4" ht="18" customHeight="1" x14ac:dyDescent="0.2">
      <c r="A54" s="2" t="s">
        <v>324</v>
      </c>
      <c r="B54" s="2"/>
      <c r="C54" s="2"/>
      <c r="D54" s="2"/>
    </row>
    <row r="55" spans="1:4" x14ac:dyDescent="0.2">
      <c r="A55" s="17" t="s">
        <v>325</v>
      </c>
      <c r="B55" s="19">
        <f>B37+B42+B53</f>
        <v>-38250000</v>
      </c>
      <c r="C55" s="19">
        <f>C37+C42+C53</f>
        <v>-26074000</v>
      </c>
      <c r="D55" s="47" t="s">
        <v>326</v>
      </c>
    </row>
    <row r="56" spans="1:4" x14ac:dyDescent="0.2">
      <c r="A56" s="16" t="s">
        <v>327</v>
      </c>
      <c r="B56" s="45">
        <f>'Balance Sheet'!C7-'Balance Sheet'!D7</f>
        <v>-39927000</v>
      </c>
      <c r="C56" s="45">
        <f>'Balance Sheet'!D7-'Balance Sheet'!E7</f>
        <v>-28134000</v>
      </c>
      <c r="D56" s="46" t="s">
        <v>328</v>
      </c>
    </row>
    <row r="57" spans="1:4" ht="27.75" customHeight="1" x14ac:dyDescent="0.2">
      <c r="A57" s="52" t="s">
        <v>329</v>
      </c>
      <c r="B57" s="53">
        <f>B56-B55</f>
        <v>-1677000</v>
      </c>
      <c r="C57" s="53">
        <f>C56-C55</f>
        <v>-2060000</v>
      </c>
      <c r="D57" s="54" t="s">
        <v>330</v>
      </c>
    </row>
    <row r="58" spans="1:4" ht="27.75" customHeight="1" x14ac:dyDescent="0.2">
      <c r="A58" s="21" t="s">
        <v>331</v>
      </c>
      <c r="B58" s="23">
        <f>B55+B57</f>
        <v>-39927000</v>
      </c>
      <c r="C58" s="23">
        <f>C55+C57</f>
        <v>-28134000</v>
      </c>
      <c r="D58" s="49" t="s">
        <v>332</v>
      </c>
    </row>
    <row r="59" spans="1:4" x14ac:dyDescent="0.2">
      <c r="A59" s="16" t="s">
        <v>333</v>
      </c>
      <c r="B59" s="45">
        <f>'Balance Sheet'!D7</f>
        <v>192208000</v>
      </c>
      <c r="C59" s="45">
        <f>'Balance Sheet'!E7</f>
        <v>220342000</v>
      </c>
      <c r="D59" s="46" t="s">
        <v>334</v>
      </c>
    </row>
    <row r="60" spans="1:4" x14ac:dyDescent="0.2">
      <c r="A60" s="21" t="s">
        <v>335</v>
      </c>
      <c r="B60" s="23">
        <f>B59+B58</f>
        <v>152281000</v>
      </c>
      <c r="C60" s="23">
        <f>C59+C58</f>
        <v>192208000</v>
      </c>
      <c r="D60" s="49" t="s">
        <v>336</v>
      </c>
    </row>
    <row r="61" spans="1:4" x14ac:dyDescent="0.2">
      <c r="A61" s="16" t="s">
        <v>337</v>
      </c>
      <c r="B61" s="36">
        <f>B60-'Balance Sheet'!C7</f>
        <v>0</v>
      </c>
      <c r="C61" s="36">
        <f>C60-'Balance Sheet'!D7</f>
        <v>0</v>
      </c>
      <c r="D61" s="46" t="s">
        <v>338</v>
      </c>
    </row>
  </sheetData>
  <mergeCells count="9">
    <mergeCell ref="A16:D16"/>
    <mergeCell ref="A38:D38"/>
    <mergeCell ref="A43:D43"/>
    <mergeCell ref="A54:D54"/>
    <mergeCell ref="A1:D1"/>
    <mergeCell ref="A2:D2"/>
    <mergeCell ref="A3:D3"/>
    <mergeCell ref="A6:D6"/>
    <mergeCell ref="A8:D8"/>
  </mergeCells>
  <conditionalFormatting sqref="B61:C61">
    <cfRule type="expression" dxfId="2" priority="2">
      <formula>ROUND(B61,0)&lt;&gt;0</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D48"/>
  <sheetViews>
    <sheetView zoomScaleNormal="100" workbookViewId="0">
      <pane xSplit="1" ySplit="5" topLeftCell="B23" activePane="bottomRight" state="frozen"/>
      <selection pane="topRight" activeCell="B1" sqref="B1"/>
      <selection pane="bottomLeft" activeCell="A6" sqref="A6"/>
      <selection pane="bottomRight" sqref="A1:D1"/>
    </sheetView>
  </sheetViews>
  <sheetFormatPr baseColWidth="10" defaultColWidth="8.6640625" defaultRowHeight="15" x14ac:dyDescent="0.2"/>
  <cols>
    <col min="1" max="1" width="62" customWidth="1"/>
    <col min="2" max="3" width="17" customWidth="1"/>
    <col min="4" max="4" width="78" customWidth="1"/>
  </cols>
  <sheetData>
    <row r="1" spans="1:4" ht="25.5" customHeight="1" x14ac:dyDescent="0.2">
      <c r="A1" s="5" t="s">
        <v>339</v>
      </c>
      <c r="B1" s="5"/>
      <c r="C1" s="5"/>
      <c r="D1" s="5"/>
    </row>
    <row r="2" spans="1:4" ht="15" customHeight="1" x14ac:dyDescent="0.2">
      <c r="A2" s="4" t="s">
        <v>340</v>
      </c>
      <c r="B2" s="4"/>
      <c r="C2" s="4"/>
      <c r="D2" s="4"/>
    </row>
    <row r="3" spans="1:4" ht="15" customHeight="1" x14ac:dyDescent="0.2">
      <c r="A3" s="3" t="s">
        <v>23</v>
      </c>
      <c r="B3" s="3"/>
      <c r="C3" s="3"/>
      <c r="D3" s="3"/>
    </row>
    <row r="5" spans="1:4" ht="27.75" customHeight="1" x14ac:dyDescent="0.2">
      <c r="A5" s="10" t="s">
        <v>24</v>
      </c>
      <c r="B5" s="11" t="s">
        <v>26</v>
      </c>
      <c r="C5" s="11" t="s">
        <v>27</v>
      </c>
      <c r="D5" s="11" t="s">
        <v>250</v>
      </c>
    </row>
    <row r="6" spans="1:4" ht="18" customHeight="1" x14ac:dyDescent="0.2">
      <c r="A6" s="2" t="s">
        <v>341</v>
      </c>
      <c r="B6" s="2"/>
      <c r="C6" s="2"/>
      <c r="D6" s="2"/>
    </row>
    <row r="7" spans="1:4" ht="27.75" customHeight="1" x14ac:dyDescent="0.2">
      <c r="A7" s="16" t="s">
        <v>342</v>
      </c>
      <c r="B7" s="45">
        <f>'P&amp;L'!C6</f>
        <v>101710000</v>
      </c>
      <c r="C7" s="45">
        <f>'P&amp;L'!D6</f>
        <v>109012000</v>
      </c>
      <c r="D7" s="46" t="s">
        <v>343</v>
      </c>
    </row>
    <row r="8" spans="1:4" x14ac:dyDescent="0.2">
      <c r="A8" s="16" t="s">
        <v>344</v>
      </c>
      <c r="B8" s="45">
        <f>'P&amp;L'!C10</f>
        <v>-59362000</v>
      </c>
      <c r="C8" s="45">
        <f>'P&amp;L'!D10</f>
        <v>-65225000</v>
      </c>
      <c r="D8" s="46" t="s">
        <v>345</v>
      </c>
    </row>
    <row r="9" spans="1:4" x14ac:dyDescent="0.2">
      <c r="A9" s="16" t="s">
        <v>346</v>
      </c>
      <c r="B9" s="45">
        <f>'P&amp;L'!C12</f>
        <v>715000</v>
      </c>
      <c r="C9" s="45">
        <f>'P&amp;L'!D12</f>
        <v>710000</v>
      </c>
      <c r="D9" s="46" t="s">
        <v>347</v>
      </c>
    </row>
    <row r="10" spans="1:4" x14ac:dyDescent="0.2">
      <c r="A10" s="16" t="s">
        <v>348</v>
      </c>
      <c r="B10" s="45">
        <f>'P&amp;L'!C14</f>
        <v>17387000</v>
      </c>
      <c r="C10" s="45">
        <f>'P&amp;L'!D14</f>
        <v>16834000</v>
      </c>
      <c r="D10" s="46" t="s">
        <v>347</v>
      </c>
    </row>
    <row r="11" spans="1:4" x14ac:dyDescent="0.2">
      <c r="A11" s="16" t="s">
        <v>349</v>
      </c>
      <c r="B11" s="45">
        <f>'P&amp;L'!C15</f>
        <v>-4411000</v>
      </c>
      <c r="C11" s="45">
        <f>'P&amp;L'!D15</f>
        <v>-4458000</v>
      </c>
      <c r="D11" s="46" t="s">
        <v>347</v>
      </c>
    </row>
    <row r="12" spans="1:4" x14ac:dyDescent="0.2">
      <c r="A12" s="16" t="s">
        <v>350</v>
      </c>
      <c r="B12" s="45">
        <f>('P&amp;L'!C16)+('P&amp;L'!C19)+('P&amp;L'!C20)+('P&amp;L'!C21)+('P&amp;L'!C22)</f>
        <v>1955000</v>
      </c>
      <c r="C12" s="45">
        <f>('P&amp;L'!D16)+('P&amp;L'!D19)+('P&amp;L'!D20)+('P&amp;L'!D21)+('P&amp;L'!D22)</f>
        <v>2427000</v>
      </c>
      <c r="D12" s="46" t="s">
        <v>351</v>
      </c>
    </row>
    <row r="13" spans="1:4" x14ac:dyDescent="0.2">
      <c r="A13" s="16" t="s">
        <v>352</v>
      </c>
      <c r="B13" s="45">
        <f>'P&amp;L'!C23</f>
        <v>407000</v>
      </c>
      <c r="C13" s="45">
        <f>'P&amp;L'!D23</f>
        <v>-216000</v>
      </c>
      <c r="D13" s="46" t="s">
        <v>347</v>
      </c>
    </row>
    <row r="14" spans="1:4" x14ac:dyDescent="0.2">
      <c r="A14" s="16" t="s">
        <v>353</v>
      </c>
      <c r="B14" s="45">
        <f>'P&amp;L'!C24</f>
        <v>1583000</v>
      </c>
      <c r="C14" s="45">
        <f>'P&amp;L'!D24</f>
        <v>846000</v>
      </c>
      <c r="D14" s="46" t="s">
        <v>347</v>
      </c>
    </row>
    <row r="15" spans="1:4" x14ac:dyDescent="0.2">
      <c r="A15" s="16" t="s">
        <v>354</v>
      </c>
      <c r="B15" s="45">
        <f>'P&amp;L'!C25</f>
        <v>-2070000</v>
      </c>
      <c r="C15" s="45">
        <f>'P&amp;L'!D25</f>
        <v>-2258000</v>
      </c>
      <c r="D15" s="46" t="s">
        <v>347</v>
      </c>
    </row>
    <row r="16" spans="1:4" x14ac:dyDescent="0.2">
      <c r="A16" s="16" t="s">
        <v>355</v>
      </c>
      <c r="B16" s="45">
        <f>('P&amp;L'!C26)+('P&amp;L'!C27)</f>
        <v>91000</v>
      </c>
      <c r="C16" s="45">
        <f>('P&amp;L'!D26)+('P&amp;L'!D27)</f>
        <v>21000</v>
      </c>
      <c r="D16" s="46" t="s">
        <v>347</v>
      </c>
    </row>
    <row r="17" spans="1:4" x14ac:dyDescent="0.2">
      <c r="A17" s="16" t="s">
        <v>356</v>
      </c>
      <c r="B17" s="45">
        <f>'P&amp;L'!C29</f>
        <v>-21533000</v>
      </c>
      <c r="C17" s="45">
        <f>'P&amp;L'!D29</f>
        <v>-21970000</v>
      </c>
      <c r="D17" s="46" t="s">
        <v>357</v>
      </c>
    </row>
    <row r="18" spans="1:4" ht="27.75" customHeight="1" x14ac:dyDescent="0.2">
      <c r="A18" s="16" t="s">
        <v>358</v>
      </c>
      <c r="B18" s="45">
        <f>'P&amp;L'!C33</f>
        <v>-2729000</v>
      </c>
      <c r="C18" s="45">
        <f>'P&amp;L'!D33</f>
        <v>-3465000</v>
      </c>
      <c r="D18" s="46" t="s">
        <v>359</v>
      </c>
    </row>
    <row r="19" spans="1:4" ht="27.75" customHeight="1" x14ac:dyDescent="0.2">
      <c r="A19" s="16" t="s">
        <v>360</v>
      </c>
      <c r="B19" s="45">
        <f>'P&amp;L'!C34</f>
        <v>-12546000</v>
      </c>
      <c r="C19" s="45">
        <f>'P&amp;L'!D34</f>
        <v>-12136000</v>
      </c>
      <c r="D19" s="46" t="s">
        <v>361</v>
      </c>
    </row>
    <row r="20" spans="1:4" ht="27.75" customHeight="1" x14ac:dyDescent="0.2">
      <c r="A20" s="16" t="s">
        <v>362</v>
      </c>
      <c r="B20" s="45">
        <f>'P&amp;L'!C46</f>
        <v>-4723000</v>
      </c>
      <c r="C20" s="45">
        <f>'P&amp;L'!D46</f>
        <v>-4844000</v>
      </c>
      <c r="D20" s="46" t="s">
        <v>363</v>
      </c>
    </row>
    <row r="21" spans="1:4" x14ac:dyDescent="0.2">
      <c r="A21" s="16" t="s">
        <v>364</v>
      </c>
      <c r="B21" s="45">
        <f>'P&amp;L'!C48</f>
        <v>1542000</v>
      </c>
      <c r="C21" s="45">
        <f>'P&amp;L'!D48</f>
        <v>1241000</v>
      </c>
      <c r="D21" s="46" t="s">
        <v>347</v>
      </c>
    </row>
    <row r="22" spans="1:4" ht="27.75" customHeight="1" x14ac:dyDescent="0.2">
      <c r="A22" s="17" t="s">
        <v>365</v>
      </c>
      <c r="B22" s="19">
        <f>SUM(B7:B21)</f>
        <v>18016000</v>
      </c>
      <c r="C22" s="19">
        <f>SUM(C7:C21)</f>
        <v>16519000</v>
      </c>
      <c r="D22" s="47" t="s">
        <v>366</v>
      </c>
    </row>
    <row r="23" spans="1:4" ht="27.75" customHeight="1" x14ac:dyDescent="0.2">
      <c r="A23" s="16" t="s">
        <v>367</v>
      </c>
      <c r="B23" s="45">
        <f>'Indirect Cash Flow'!B36</f>
        <v>-43028000</v>
      </c>
      <c r="C23" s="45">
        <f>'Indirect Cash Flow'!C36</f>
        <v>-49950000</v>
      </c>
      <c r="D23" s="46" t="s">
        <v>368</v>
      </c>
    </row>
    <row r="24" spans="1:4" x14ac:dyDescent="0.2">
      <c r="A24" s="21" t="s">
        <v>298</v>
      </c>
      <c r="B24" s="23">
        <f>B22+B23</f>
        <v>-25012000</v>
      </c>
      <c r="C24" s="23">
        <f>C22+C23</f>
        <v>-33431000</v>
      </c>
      <c r="D24" s="49" t="s">
        <v>369</v>
      </c>
    </row>
    <row r="25" spans="1:4" x14ac:dyDescent="0.2">
      <c r="A25" s="16" t="s">
        <v>370</v>
      </c>
      <c r="B25" s="48">
        <f>B24-'Indirect Cash Flow'!B37</f>
        <v>0</v>
      </c>
      <c r="C25" s="48">
        <f>C24-'Indirect Cash Flow'!C37</f>
        <v>0</v>
      </c>
      <c r="D25" s="46" t="s">
        <v>371</v>
      </c>
    </row>
    <row r="26" spans="1:4" ht="18" customHeight="1" x14ac:dyDescent="0.2">
      <c r="A26" s="2" t="s">
        <v>372</v>
      </c>
      <c r="B26" s="2"/>
      <c r="C26" s="2"/>
      <c r="D26" s="2"/>
    </row>
    <row r="27" spans="1:4" x14ac:dyDescent="0.2">
      <c r="A27" s="16" t="s">
        <v>301</v>
      </c>
      <c r="B27" s="45">
        <f>'Indirect Cash Flow'!B39</f>
        <v>890000</v>
      </c>
      <c r="C27" s="45">
        <f>'Indirect Cash Flow'!C39</f>
        <v>1056000</v>
      </c>
      <c r="D27" s="46" t="s">
        <v>373</v>
      </c>
    </row>
    <row r="28" spans="1:4" x14ac:dyDescent="0.2">
      <c r="A28" s="16" t="s">
        <v>374</v>
      </c>
      <c r="B28" s="45">
        <f>'Indirect Cash Flow'!B40</f>
        <v>3171000</v>
      </c>
      <c r="C28" s="45">
        <f>'Indirect Cash Flow'!C40</f>
        <v>-1396000</v>
      </c>
      <c r="D28" s="46" t="s">
        <v>373</v>
      </c>
    </row>
    <row r="29" spans="1:4" x14ac:dyDescent="0.2">
      <c r="A29" s="16" t="s">
        <v>305</v>
      </c>
      <c r="B29" s="45">
        <f>'Indirect Cash Flow'!B41</f>
        <v>-8014000</v>
      </c>
      <c r="C29" s="45">
        <f>'Indirect Cash Flow'!C41</f>
        <v>-988000</v>
      </c>
      <c r="D29" s="46" t="s">
        <v>375</v>
      </c>
    </row>
    <row r="30" spans="1:4" x14ac:dyDescent="0.2">
      <c r="A30" s="21" t="s">
        <v>307</v>
      </c>
      <c r="B30" s="23">
        <f>SUM(B27:B29)</f>
        <v>-3953000</v>
      </c>
      <c r="C30" s="23">
        <f>SUM(C27:C29)</f>
        <v>-1328000</v>
      </c>
      <c r="D30" s="49" t="s">
        <v>308</v>
      </c>
    </row>
    <row r="31" spans="1:4" ht="18" customHeight="1" x14ac:dyDescent="0.2">
      <c r="A31" s="2" t="s">
        <v>376</v>
      </c>
      <c r="B31" s="2"/>
      <c r="C31" s="2"/>
      <c r="D31" s="2"/>
    </row>
    <row r="32" spans="1:4" x14ac:dyDescent="0.2">
      <c r="A32" s="16" t="s">
        <v>310</v>
      </c>
      <c r="B32" s="45">
        <f>'Indirect Cash Flow'!B44</f>
        <v>-1131000</v>
      </c>
      <c r="C32" s="45">
        <f>'Indirect Cash Flow'!C44</f>
        <v>16942000</v>
      </c>
      <c r="D32" s="46" t="s">
        <v>373</v>
      </c>
    </row>
    <row r="33" spans="1:4" x14ac:dyDescent="0.2">
      <c r="A33" s="16" t="s">
        <v>312</v>
      </c>
      <c r="B33" s="45">
        <f>'Indirect Cash Flow'!B45</f>
        <v>-8000</v>
      </c>
      <c r="C33" s="45">
        <f>'Indirect Cash Flow'!C45</f>
        <v>-93000</v>
      </c>
      <c r="D33" s="46" t="s">
        <v>373</v>
      </c>
    </row>
    <row r="34" spans="1:4" x14ac:dyDescent="0.2">
      <c r="A34" s="16" t="s">
        <v>314</v>
      </c>
      <c r="B34" s="45">
        <f>'Indirect Cash Flow'!B46</f>
        <v>-4237000</v>
      </c>
      <c r="C34" s="45">
        <f>'Indirect Cash Flow'!C46</f>
        <v>-3677000</v>
      </c>
      <c r="D34" s="46" t="s">
        <v>373</v>
      </c>
    </row>
    <row r="35" spans="1:4" x14ac:dyDescent="0.2">
      <c r="A35" s="16" t="s">
        <v>232</v>
      </c>
      <c r="B35" s="45">
        <f>'Indirect Cash Flow'!B47</f>
        <v>-4081000</v>
      </c>
      <c r="C35" s="45">
        <f>'Indirect Cash Flow'!C47</f>
        <v>-4038000</v>
      </c>
      <c r="D35" s="46" t="s">
        <v>373</v>
      </c>
    </row>
    <row r="36" spans="1:4" x14ac:dyDescent="0.2">
      <c r="A36" s="16" t="s">
        <v>233</v>
      </c>
      <c r="B36" s="45">
        <f>'Indirect Cash Flow'!B48</f>
        <v>800000</v>
      </c>
      <c r="C36" s="45">
        <f>'Indirect Cash Flow'!C48</f>
        <v>762000</v>
      </c>
      <c r="D36" s="46" t="s">
        <v>373</v>
      </c>
    </row>
    <row r="37" spans="1:4" x14ac:dyDescent="0.2">
      <c r="A37" s="16" t="s">
        <v>316</v>
      </c>
      <c r="B37" s="45">
        <f>'Indirect Cash Flow'!B49</f>
        <v>0</v>
      </c>
      <c r="C37" s="45">
        <f>'Indirect Cash Flow'!C49</f>
        <v>-1341000</v>
      </c>
      <c r="D37" s="46" t="s">
        <v>373</v>
      </c>
    </row>
    <row r="38" spans="1:4" x14ac:dyDescent="0.2">
      <c r="A38" s="16" t="s">
        <v>318</v>
      </c>
      <c r="B38" s="45">
        <f>'Indirect Cash Flow'!B50</f>
        <v>-5000</v>
      </c>
      <c r="C38" s="45">
        <f>'Indirect Cash Flow'!C50</f>
        <v>-8000</v>
      </c>
      <c r="D38" s="46" t="s">
        <v>373</v>
      </c>
    </row>
    <row r="39" spans="1:4" x14ac:dyDescent="0.2">
      <c r="A39" s="16" t="s">
        <v>319</v>
      </c>
      <c r="B39" s="45">
        <f>'Indirect Cash Flow'!B51</f>
        <v>-623000</v>
      </c>
      <c r="C39" s="45">
        <f>'Indirect Cash Flow'!C51</f>
        <v>138000</v>
      </c>
      <c r="D39" s="46" t="s">
        <v>373</v>
      </c>
    </row>
    <row r="40" spans="1:4" x14ac:dyDescent="0.2">
      <c r="A40" s="21" t="s">
        <v>322</v>
      </c>
      <c r="B40" s="23">
        <f>SUM(B32:B39)</f>
        <v>-9285000</v>
      </c>
      <c r="C40" s="23">
        <f>SUM(C32:C39)</f>
        <v>8685000</v>
      </c>
      <c r="D40" s="49" t="s">
        <v>323</v>
      </c>
    </row>
    <row r="41" spans="1:4" ht="18" customHeight="1" x14ac:dyDescent="0.2">
      <c r="A41" s="2" t="s">
        <v>377</v>
      </c>
      <c r="B41" s="2"/>
      <c r="C41" s="2"/>
      <c r="D41" s="2"/>
    </row>
    <row r="42" spans="1:4" x14ac:dyDescent="0.2">
      <c r="A42" s="17" t="s">
        <v>325</v>
      </c>
      <c r="B42" s="19">
        <f>B24+B30+B40</f>
        <v>-38250000</v>
      </c>
      <c r="C42" s="19">
        <f>C24+C30+C40</f>
        <v>-26074000</v>
      </c>
      <c r="D42" s="47" t="s">
        <v>326</v>
      </c>
    </row>
    <row r="43" spans="1:4" x14ac:dyDescent="0.2">
      <c r="A43" s="16" t="s">
        <v>327</v>
      </c>
      <c r="B43" s="45">
        <f>'Indirect Cash Flow'!B56</f>
        <v>-39927000</v>
      </c>
      <c r="C43" s="45">
        <f>'Indirect Cash Flow'!C56</f>
        <v>-28134000</v>
      </c>
      <c r="D43" s="46" t="s">
        <v>373</v>
      </c>
    </row>
    <row r="44" spans="1:4" ht="27.75" customHeight="1" x14ac:dyDescent="0.2">
      <c r="A44" s="52" t="s">
        <v>329</v>
      </c>
      <c r="B44" s="53">
        <f>B43-B42</f>
        <v>-1677000</v>
      </c>
      <c r="C44" s="53">
        <f>C43-C42</f>
        <v>-2060000</v>
      </c>
      <c r="D44" s="54" t="s">
        <v>378</v>
      </c>
    </row>
    <row r="45" spans="1:4" x14ac:dyDescent="0.2">
      <c r="A45" s="21" t="s">
        <v>331</v>
      </c>
      <c r="B45" s="23">
        <f>B42+B44</f>
        <v>-39927000</v>
      </c>
      <c r="C45" s="23">
        <f>C42+C44</f>
        <v>-28134000</v>
      </c>
      <c r="D45" s="49" t="s">
        <v>379</v>
      </c>
    </row>
    <row r="46" spans="1:4" x14ac:dyDescent="0.2">
      <c r="A46" s="16" t="s">
        <v>333</v>
      </c>
      <c r="B46" s="45">
        <f>'Indirect Cash Flow'!B59</f>
        <v>192208000</v>
      </c>
      <c r="C46" s="45">
        <f>'Indirect Cash Flow'!C59</f>
        <v>220342000</v>
      </c>
      <c r="D46" s="46" t="s">
        <v>373</v>
      </c>
    </row>
    <row r="47" spans="1:4" x14ac:dyDescent="0.2">
      <c r="A47" s="21" t="s">
        <v>335</v>
      </c>
      <c r="B47" s="23">
        <f>B46+B45</f>
        <v>152281000</v>
      </c>
      <c r="C47" s="23">
        <f>C46+C45</f>
        <v>192208000</v>
      </c>
      <c r="D47" s="49" t="s">
        <v>336</v>
      </c>
    </row>
    <row r="48" spans="1:4" ht="27.75" customHeight="1" x14ac:dyDescent="0.2">
      <c r="A48" s="16" t="s">
        <v>337</v>
      </c>
      <c r="B48" s="36">
        <f>B47-'Balance Sheet'!C7</f>
        <v>0</v>
      </c>
      <c r="C48" s="36">
        <f>C47-'Balance Sheet'!D7</f>
        <v>0</v>
      </c>
      <c r="D48" s="46" t="s">
        <v>380</v>
      </c>
    </row>
  </sheetData>
  <mergeCells count="7">
    <mergeCell ref="A31:D31"/>
    <mergeCell ref="A41:D41"/>
    <mergeCell ref="A1:D1"/>
    <mergeCell ref="A2:D2"/>
    <mergeCell ref="A3:D3"/>
    <mergeCell ref="A6:D6"/>
    <mergeCell ref="A26:D26"/>
  </mergeCells>
  <conditionalFormatting sqref="B25:C25">
    <cfRule type="expression" dxfId="1" priority="2">
      <formula>ROUND(B25,0)&lt;&gt;0</formula>
    </cfRule>
  </conditionalFormatting>
  <conditionalFormatting sqref="B48:C48">
    <cfRule type="expression" dxfId="0" priority="3">
      <formula>ROUND(B48,0)&lt;&gt;0</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Cover &amp; Methodology</vt:lpstr>
      <vt:lpstr>P&amp;L</vt:lpstr>
      <vt:lpstr>Balance Sheet</vt:lpstr>
      <vt:lpstr>Equity Rollforward</vt:lpstr>
      <vt:lpstr>Indirect Cash Flow</vt:lpstr>
      <vt:lpstr>Direct Cash Flow</vt:lpstr>
      <vt:lpstr>'Balance Sheet'!Print_Titles</vt:lpstr>
      <vt:lpstr>'P&amp;L'!Print_Titles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Banco Santander - Consolidated FP&amp;A Workbook FY2025 vs FY2024</dc:title>
  <dc:subject/>
  <dc:creator>FP&amp;A workbook build (Claude)</dc:creator>
  <dc:description/>
  <cp:lastModifiedBy>angeles barrios</cp:lastModifiedBy>
  <cp:revision>0</cp:revision>
  <dcterms:created xsi:type="dcterms:W3CDTF">2026-07-22T22:09:32Z</dcterms:created>
  <dcterms:modified xsi:type="dcterms:W3CDTF">2026-07-22T22:18:10Z</dcterms:modified>
  <dc:language>en-US</dc:language>
</cp:coreProperties>
</file>