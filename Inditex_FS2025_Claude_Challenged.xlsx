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angeles/Desktop/"/>
    </mc:Choice>
  </mc:AlternateContent>
  <xr:revisionPtr revIDLastSave="0" documentId="8_{1AEC1CDF-BD75-644F-BC55-1FBC7A8E720D}" xr6:coauthVersionLast="47" xr6:coauthVersionMax="47" xr10:uidLastSave="{00000000-0000-0000-0000-000000000000}"/>
  <bookViews>
    <workbookView xWindow="0" yWindow="680" windowWidth="34200" windowHeight="19660" tabRatio="500" xr2:uid="{00000000-000D-0000-FFFF-FFFF00000000}"/>
  </bookViews>
  <sheets>
    <sheet name="Income Statement" sheetId="1" r:id="rId1"/>
    <sheet name="Balance Sheet" sheetId="2" r:id="rId2"/>
    <sheet name="Cash Flow (Indirect)" sheetId="3" r:id="rId3"/>
    <sheet name="Cash Flow (Direct)"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6" i="4" l="1"/>
  <c r="B21" i="4"/>
  <c r="B13" i="4"/>
  <c r="B7" i="4"/>
  <c r="B6" i="4"/>
  <c r="B39" i="3"/>
  <c r="B34" i="3"/>
  <c r="B33" i="3"/>
  <c r="B20" i="4" s="1"/>
  <c r="B32" i="3"/>
  <c r="B19" i="4" s="1"/>
  <c r="B30" i="3"/>
  <c r="B17" i="4" s="1"/>
  <c r="B26" i="3"/>
  <c r="B18" i="3"/>
  <c r="B17" i="3"/>
  <c r="B16" i="3"/>
  <c r="B12" i="3"/>
  <c r="B11" i="3"/>
  <c r="B10" i="3"/>
  <c r="B9" i="3"/>
  <c r="B8" i="3"/>
  <c r="B7" i="3"/>
  <c r="B6" i="3"/>
  <c r="B13" i="3" s="1"/>
  <c r="C34" i="2"/>
  <c r="C31" i="2"/>
  <c r="B31" i="2"/>
  <c r="B34" i="2" s="1"/>
  <c r="C19" i="2"/>
  <c r="B19" i="2"/>
  <c r="C12" i="2"/>
  <c r="C20" i="2" s="1"/>
  <c r="C36" i="2" s="1"/>
  <c r="B12" i="2"/>
  <c r="B20" i="2" s="1"/>
  <c r="B36" i="2" s="1"/>
  <c r="E21" i="1"/>
  <c r="D21" i="1"/>
  <c r="E20" i="1"/>
  <c r="D20" i="1"/>
  <c r="E19" i="1"/>
  <c r="D19" i="1"/>
  <c r="C16" i="1"/>
  <c r="B16" i="1"/>
  <c r="C15" i="1"/>
  <c r="B15" i="1"/>
  <c r="C14" i="1"/>
  <c r="B14" i="1"/>
  <c r="C13" i="1"/>
  <c r="B13" i="1"/>
  <c r="E10" i="1"/>
  <c r="D10" i="1"/>
  <c r="E9" i="1"/>
  <c r="D9" i="1"/>
  <c r="E8" i="1"/>
  <c r="D8" i="1"/>
  <c r="E7" i="1"/>
  <c r="D7" i="1"/>
  <c r="E6" i="1"/>
  <c r="D6" i="1"/>
  <c r="E5" i="1"/>
  <c r="D5" i="1"/>
  <c r="B8" i="4" l="1"/>
  <c r="B9" i="4" s="1"/>
  <c r="B19" i="3"/>
  <c r="B22" i="3" s="1"/>
  <c r="B31" i="3" s="1"/>
  <c r="B18" i="4" s="1"/>
  <c r="B29" i="4" l="1"/>
  <c r="B20" i="3"/>
  <c r="B21" i="3" s="1"/>
  <c r="B25" i="3" s="1"/>
  <c r="B27" i="3" l="1"/>
  <c r="B12" i="4"/>
  <c r="B14" i="4" s="1"/>
  <c r="B35" i="3" l="1"/>
  <c r="B22" i="4" l="1"/>
  <c r="B23" i="4" s="1"/>
  <c r="B25" i="4" s="1"/>
  <c r="B27" i="4" s="1"/>
  <c r="B28" i="4" s="1"/>
  <c r="B36" i="3"/>
  <c r="B38" i="3" s="1"/>
  <c r="B40" i="3" s="1"/>
  <c r="B41" i="3" s="1"/>
</calcChain>
</file>

<file path=xl/sharedStrings.xml><?xml version="1.0" encoding="utf-8"?>
<sst xmlns="http://schemas.openxmlformats.org/spreadsheetml/2006/main" count="167" uniqueCount="137">
  <si>
    <t>INDITEX — CONSOLIDATED INCOME STATEMENT (P&amp;L)</t>
  </si>
  <si>
    <t>FY2025 (Feb 1, 2025 - Jan 31, 2026)  |  Amounts in EUR millions unless noted</t>
  </si>
  <si>
    <t>Item</t>
  </si>
  <si>
    <t>FY2025</t>
  </si>
  <si>
    <t>FY2024</t>
  </si>
  <si>
    <t>Change (abs.)</t>
  </si>
  <si>
    <t>Change (%)</t>
  </si>
  <si>
    <t>Net sales</t>
  </si>
  <si>
    <t>Gross profit</t>
  </si>
  <si>
    <t>EBITDA</t>
  </si>
  <si>
    <t>EBIT (operating profit)</t>
  </si>
  <si>
    <t>Profit before tax (PBT)</t>
  </si>
  <si>
    <t>Net income</t>
  </si>
  <si>
    <t>Ratios (% of sales)</t>
  </si>
  <si>
    <t>Gross margin % of sales</t>
  </si>
  <si>
    <t>EBITDA margin % of sales</t>
  </si>
  <si>
    <t>EBIT margin % of sales</t>
  </si>
  <si>
    <t>Net margin % of sales</t>
  </si>
  <si>
    <t>Other KPIs</t>
  </si>
  <si>
    <t>Earnings per share (EPS), EUR</t>
  </si>
  <si>
    <t>Dividend per share, EUR</t>
  </si>
  <si>
    <t>Net cash position (EURm)</t>
  </si>
  <si>
    <t>Source: Inditex, "Consolidated Results FY2025" (Feb 1, 2025 - Jan 31, 2026), published at inditex.com/press, March 2026. FY2025 PBT was not disclosed in the summary report reviewed; FY2024 EBIT is estimated from the reported FY2024 PBT (EUR 7,577m).</t>
  </si>
  <si>
    <t>INDITEX — CONSOLIDATED BALANCE SHEET</t>
  </si>
  <si>
    <t>As of January 31, 2026 and January 31, 2025  |  Amounts in EUR millions</t>
  </si>
  <si>
    <t>01/31/2026</t>
  </si>
  <si>
    <t>01/31/2025</t>
  </si>
  <si>
    <t>ASSETS</t>
  </si>
  <si>
    <t>Non-current assets</t>
  </si>
  <si>
    <t xml:space="preserve">   Right-of-use assets</t>
  </si>
  <si>
    <t xml:space="preserve">   Intangible assets</t>
  </si>
  <si>
    <t xml:space="preserve">   Property, plant and equipment</t>
  </si>
  <si>
    <t xml:space="preserve">   Financial investments</t>
  </si>
  <si>
    <t xml:space="preserve">   Other non-current assets</t>
  </si>
  <si>
    <t>Total non-current assets</t>
  </si>
  <si>
    <t>Current assets</t>
  </si>
  <si>
    <t xml:space="preserve">   Inventories</t>
  </si>
  <si>
    <t xml:space="preserve">   Trade and other receivables</t>
  </si>
  <si>
    <t xml:space="preserve">   Short-term financial investments</t>
  </si>
  <si>
    <t xml:space="preserve">   Cash and cash equivalents</t>
  </si>
  <si>
    <t xml:space="preserve">   Other current assets</t>
  </si>
  <si>
    <t>Total current assets</t>
  </si>
  <si>
    <t>TOTAL ASSETS</t>
  </si>
  <si>
    <t>LIABILITIES AND EQUITY</t>
  </si>
  <si>
    <t>Equity</t>
  </si>
  <si>
    <t xml:space="preserve">   Share capital</t>
  </si>
  <si>
    <t xml:space="preserve">   Share premium</t>
  </si>
  <si>
    <t xml:space="preserve">   Retained earnings (prior years, accumulated)</t>
  </si>
  <si>
    <t xml:space="preserve">   Net income for the year</t>
  </si>
  <si>
    <t xml:space="preserve">   Treasury shares</t>
  </si>
  <si>
    <t xml:space="preserve">   Accumulated other comprehensive income (translation differences, hedges, etc.)</t>
  </si>
  <si>
    <t xml:space="preserve">   Minority interests</t>
  </si>
  <si>
    <t>Total equity</t>
  </si>
  <si>
    <t>Non-current liabilities (estimated)</t>
  </si>
  <si>
    <t>Current liabilities (estimated)</t>
  </si>
  <si>
    <t>TOTAL LIABILITIES AND EQUITY</t>
  </si>
  <si>
    <t>Check (Total Assets - Total Liabilities and Equity)</t>
  </si>
  <si>
    <t>Other year-end data</t>
  </si>
  <si>
    <t>Net cash position</t>
  </si>
  <si>
    <t>Number of stores</t>
  </si>
  <si>
    <t>Source (Assets): Inditex, "Consolidated Results FY2025" (year-end Jan 31, 2026), inditex.com/press, March 2026. Source (Equity detail): reclassification of market data (Investing.com historical ITX balance sheet), which groups share capital + share premium, retained earnings, treasury shares, accumulated other comprehensive income and minority interests; exact line items in Inditex's audited Consolidated Financial Statements may differ slightly in naming. Retained earnings has been split into prior-years accumulated earnings and net income for the year by subtracting the reported net income of each year from the combined 'retained earnings' balance reported by the market data source; this is an approximation (it does not net out dividends paid) and should be confirmed against Inditex's audited FY2025 Consolidated Financial Statements (inditex.com). The full official breakdown of non-current and current liabilities as of 01/31/2026 was not available in the summary report reviewed; both figures are estimates adjusted to balance the sheet and should likewise be confirmed against the audited financial statements.</t>
  </si>
  <si>
    <t>INDITEX — CONSOLIDATED CASH FLOW STATEMENT (INDIRECT METHOD)</t>
  </si>
  <si>
    <t>FY2025 (Feb 1, 2025 - Jan 31, 2026)  |  EUR millions  |  Built by Claude from the Income Statement and Balance Sheet tabs via formulas — NOT taken from Inditex's published cash flow statement. Gross capex and lease-liability repayments are estimated using a D&amp;A allocation (see Memo block); short-term financial investments are treated as cash equivalents, consistent with Inditex's own 'Net cash position' KPI. Single period only (two balance sheet dates available).</t>
  </si>
  <si>
    <t>FY2025 (EURm)</t>
  </si>
  <si>
    <t>Basis / derivation</t>
  </si>
  <si>
    <t>OPERATING ACTIVITIES</t>
  </si>
  <si>
    <t>Income Statement, Net income</t>
  </si>
  <si>
    <t>Depreciation and amortization (add-back, total)</t>
  </si>
  <si>
    <t>Income Statement, EBITDA - EBIT</t>
  </si>
  <si>
    <t>(Increase)/decrease in inventories</t>
  </si>
  <si>
    <t>Balance Sheet, prior Inventories - current Inventories</t>
  </si>
  <si>
    <t>(Increase)/decrease in trade and other receivables</t>
  </si>
  <si>
    <t>Balance Sheet, prior Receivables - current Receivables</t>
  </si>
  <si>
    <t>(Increase)/decrease in other current assets</t>
  </si>
  <si>
    <t>Balance Sheet, prior Other current assets - current</t>
  </si>
  <si>
    <t>(Increase)/decrease in other non-current assets</t>
  </si>
  <si>
    <t>Balance Sheet, prior Other non-current assets - current</t>
  </si>
  <si>
    <t>Increase/(decrease) in current liabilities (trade payables &amp; other, proxy)</t>
  </si>
  <si>
    <t>Balance Sheet, current Current liabilities - prior (single estimated line; no payables/accruals split available)</t>
  </si>
  <si>
    <t>Net cash from operating activities</t>
  </si>
  <si>
    <t>MEMO — SUPPORTING CALCULATIONS FOR INVESTING &amp; FINANCING ESTIMATES</t>
  </si>
  <si>
    <t>Average right-of-use (ROU) asset balance</t>
  </si>
  <si>
    <t>Balance Sheet, average of ROU assets at both year-ends</t>
  </si>
  <si>
    <t>Average property, plant &amp; equipment (PP&amp;E) balance</t>
  </si>
  <si>
    <t>Balance Sheet, average of PP&amp;E at both year-ends</t>
  </si>
  <si>
    <t>Average intangible assets balance</t>
  </si>
  <si>
    <t>Balance Sheet, average of Intangible assets at both year-ends</t>
  </si>
  <si>
    <t>Estimated D&amp;A allocated to ROU assets</t>
  </si>
  <si>
    <t>Total D&amp;A x [avg ROU / (avg ROU + avg PP&amp;E + avg Intangibles)] — allocates total D&amp;A across asset classes in proportion to their average balance, since Inditex does not separately disclose D&amp;A by asset class in the summary results reviewed</t>
  </si>
  <si>
    <t>Estimated D&amp;A allocated to PP&amp;E &amp; intangible assets</t>
  </si>
  <si>
    <t>Total D&amp;A - D&amp;A allocated to ROU assets</t>
  </si>
  <si>
    <t>Estimated gross capex in PP&amp;E &amp; intangible assets</t>
  </si>
  <si>
    <t>Δ Net book value of PP&amp;E + Intangibles, plus the D&amp;A allocated to them (since Net BV(end) = Net BV(beg) + Capex - D&amp;A, so Capex = ΔNet BV + D&amp;A)</t>
  </si>
  <si>
    <t>Estimated repayment of lease liabilities (principal portion)</t>
  </si>
  <si>
    <t>Proxy = D&amp;A allocated to ROU assets (a common simplifying approximation for the annual cash principal repaid on lease liabilities, absent a separate lease-liability disclosure)</t>
  </si>
  <si>
    <t>INVESTING ACTIVITIES</t>
  </si>
  <si>
    <t>Purchases of property, plant &amp; equipment and intangible assets (estimated gross capex)</t>
  </si>
  <si>
    <t>-(Estimated gross capex, see Memo block above)</t>
  </si>
  <si>
    <t>Net investment in financial assets, non-current</t>
  </si>
  <si>
    <t>-(Δ Financial investments, non-current). Short-term financial investments are excluded here and treated as cash equivalents (see Financing section below and Inditex's own 'Net cash position' KPI, which nets cash + short-term financial investments)</t>
  </si>
  <si>
    <t>Net cash used in investing activities</t>
  </si>
  <si>
    <t>FINANCING ACTIVITIES</t>
  </si>
  <si>
    <t>Dividends paid (implied from retained earnings roll-forward)</t>
  </si>
  <si>
    <t>-(prior Retained earnings + prior Net income - current Retained earnings); i.e. implied payout consistent with the equity roll-forward</t>
  </si>
  <si>
    <t>Repayment of lease liabilities (principal portion, estimated)</t>
  </si>
  <si>
    <t>-(Estimated lease liability repayment, see Memo block above)</t>
  </si>
  <si>
    <t>Change in treasury shares</t>
  </si>
  <si>
    <t>Balance Sheet, Δ Treasury shares</t>
  </si>
  <si>
    <t>Change in accumulated other comprehensive income (translation/hedges, net)</t>
  </si>
  <si>
    <t>Balance Sheet, Δ Accumulated other comprehensive income</t>
  </si>
  <si>
    <t>Change in minority interests</t>
  </si>
  <si>
    <t>Balance Sheet, Δ Minority interests</t>
  </si>
  <si>
    <t>Other financing and reconciling items, net (balancing item)</t>
  </si>
  <si>
    <t>Balancing item = reported Δ (cash + short-term financial investments) - all other operating, investing and financing lines above. With gross capex and lease repayments now estimated explicitly (see Memo block), this residual is much smaller and mainly reflects remaining estimation noise from the Balance Sheet tab's own Non-current/Current liabilities estimates, plus items with no visibility in the summarized statements (e.g. share-based compensation, provisions, minor FX effects)</t>
  </si>
  <si>
    <t>Net cash from/(used in) financing activities</t>
  </si>
  <si>
    <t>NET INCREASE/(DECREASE) IN CASH AND CASH EQUIVALENTS (broad: cash + ST financial investments)</t>
  </si>
  <si>
    <t>Cash and cash equivalents at beginning of year (broad: cash + ST financial investments)</t>
  </si>
  <si>
    <t>Balance Sheet, Cash + Short-term financial investments (01/31/2025)</t>
  </si>
  <si>
    <t>Cash and cash equivalents at end of year (broad)</t>
  </si>
  <si>
    <t>Check vs. reported ending cash + ST financial investments (Balance Sheet)</t>
  </si>
  <si>
    <t>Should equal zero by construction (the plug above forces this)</t>
  </si>
  <si>
    <t>Methodology note: this cash flow statement is not published by Inditex; it is derived entirely within this workbook by linking Balance Sheet changes (01/31/2026 vs. 01/31/2025) and Income Statement items via the formulas shown in column B. Gross capex and lease-liability repayments — the two largest cash items missing from a simple balance-sheet-delta approach for a lease-heavy retailer like Inditex — are estimated by allocating total D&amp;A (EBITDA - EBIT) between ROU assets and PP&amp;E/intangibles in proportion to their average balances (see the Memo block), then adding it back to the respective net book value change. Short-term financial investments are treated as cash equivalents, matching Inditex's own disclosed 'Net cash position' metric (cash + short-term financial investments, net of financial debt). Because only two year-end balance sheet snapshots are available and the Non-current/Current liabilities split in the Balance Sheet tab is itself an estimate, a small 'Other financing and reconciling items, net' line absorbs the remaining gap so the statement ties exactly to the reported change in cash. Treat this as an illustrative, internally-consistent model, not a substitute for Inditex's audited consolidated cash flow statement.</t>
  </si>
  <si>
    <t>INDITEX — CONSOLIDATED CASH FLOW STATEMENT (DIRECT METHOD)</t>
  </si>
  <si>
    <t>FY2025 (Feb 1, 2025 - Jan 31, 2026)  |  EUR millions  |  Built by Claude from the Income Statement and Balance Sheet tabs via formulas — NOT taken from Inditex's published cash flow statement. The operating section is presented on a direct-method basis; Investing and Financing sections link to the 'Cash Flow (Indirect)' tab (including its D&amp;A-allocation-based capex and lease-repayment estimates), since those two sections are identical under both methods by definition.</t>
  </si>
  <si>
    <t>Cash received from customers</t>
  </si>
  <si>
    <t>Net sales - Δ Receivables (increase in receivables reduces cash collected)</t>
  </si>
  <si>
    <t>Cash paid to suppliers/vendors</t>
  </si>
  <si>
    <t>-(Total cash operating costs [Net sales - EBITDA, i.e. COGS + all opex excl. D&amp;A] + Δ Inventories - Δ Current liabilities [payables proxy] + Δ Other current assets + Δ Other non-current assets); combines goods and operating-expense payments to suppliers/vendors into a single line</t>
  </si>
  <si>
    <t>Income taxes and other operating items, net (balancing item)</t>
  </si>
  <si>
    <t>Balancing item = Net cash from operating activities per the indirect method (linked from the 'Cash Flow (Indirect)' tab) minus the two direct-method lines above; approximates cash income taxes paid plus any other operating cash items not separately visible in the summarized statements</t>
  </si>
  <si>
    <t>INVESTING ACTIVITIES (linked from Cash Flow (Indirect) tab)</t>
  </si>
  <si>
    <t>Linked from 'Cash Flow (Indirect)' tab (identical under both methods)</t>
  </si>
  <si>
    <t>FINANCING ACTIVITIES (linked from Cash Flow (Indirect) tab)</t>
  </si>
  <si>
    <t>Should equal zero by construction</t>
  </si>
  <si>
    <t>Check vs. Net cash from operating activities (Indirect method)</t>
  </si>
  <si>
    <t>Should equal zero — both methods must produce the same operating total</t>
  </si>
  <si>
    <t>Methodology note: as required by accounting standards, the direct and indirect methods must report the same 'Net cash from operating activities' and identical investing/financing sections — only the presentation of the operating section differs. 'Cash paid to suppliers/vendors' combines both cost of goods and operating expenses paid (i.e. all cash operating costs before D&amp;A), adjusted for the related working-capital movements; the residual needed to match the indirect-method operating total is shown as 'Income taxes and other operating items, net'. Investing and Financing sections — including the D&amp;A-allocation-based gross capex and lease-repayment estimates — are linked from the 'Cash Flow (Indirect)' tab; see that tab's Memo block and methodology note for how those estimates are derived. This is an illustrative, internally-consistent model built for this workbook — not Inditex's audited, published cash flow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</si>
</sst>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 EURm&quot;;\(#,##0&quot; EURm)&quot;"/>
    <numFmt numFmtId="165" formatCode="0.0%"/>
    <numFmt numFmtId="166" formatCode="#,##0.000&quot; EUR&quot;"/>
  </numFmts>
  <fonts count="13" x14ac:knownFonts="1">
    <font>
      <sz val="11"/>
      <color theme="1"/>
      <name val="Calibri"/>
      <family val="2"/>
      <charset val="1"/>
    </font>
    <font>
      <b/>
      <sz val="14"/>
      <color rgb="FFFFFFFF"/>
      <name val="Arial"/>
      <family val="2"/>
    </font>
    <font>
      <i/>
      <sz val="10"/>
      <color rgb="FF595959"/>
      <name val="Arial"/>
      <family val="2"/>
    </font>
    <font>
      <b/>
      <sz val="10"/>
      <color rgb="FFFFFFFF"/>
      <name val="Arial"/>
      <family val="2"/>
    </font>
    <font>
      <sz val="10"/>
      <name val="Arial"/>
      <family val="2"/>
    </font>
    <font>
      <sz val="10"/>
      <color rgb="FF0000FF"/>
      <name val="Arial"/>
      <family val="2"/>
    </font>
    <font>
      <sz val="10"/>
      <color rgb="FF000000"/>
      <name val="Arial"/>
      <family val="2"/>
    </font>
    <font>
      <b/>
      <sz val="10"/>
      <name val="Arial"/>
      <family val="2"/>
    </font>
    <font>
      <i/>
      <sz val="8"/>
      <color rgb="FF808080"/>
      <name val="Arial"/>
      <family val="2"/>
    </font>
    <font>
      <b/>
      <sz val="10"/>
      <color rgb="FF1F4E78"/>
      <name val="Arial"/>
      <family val="2"/>
    </font>
    <font>
      <b/>
      <sz val="11"/>
      <color rgb="FFFFFFFF"/>
      <name val="Arial"/>
      <family val="2"/>
    </font>
    <font>
      <i/>
      <sz val="8"/>
      <color rgb="FF595959"/>
      <name val="Arial"/>
      <family val="2"/>
    </font>
    <font>
      <i/>
      <sz val="9"/>
      <color rgb="FF1F4E78"/>
      <name val="Arial"/>
      <family val="2"/>
    </font>
  </fonts>
  <fills count="6">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DDEBF7"/>
        <bgColor rgb="FFD9E1F2"/>
      </patternFill>
    </fill>
    <fill>
      <patternFill patternType="solid">
        <fgColor rgb="FFD9E1F2"/>
        <bgColor rgb="FFDDEBF7"/>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2">
    <xf numFmtId="0" fontId="0" fillId="0" borderId="0" xfId="0"/>
    <xf numFmtId="0" fontId="1" fillId="2" borderId="0" xfId="0" applyFont="1" applyFill="1" applyAlignment="1">
      <alignment horizontal="left" vertical="center" wrapText="1" indent="1"/>
    </xf>
    <xf numFmtId="0" fontId="8" fillId="0" borderId="0" xfId="0" applyFont="1" applyAlignment="1">
      <alignment vertical="top" wrapText="1"/>
    </xf>
    <xf numFmtId="0" fontId="2" fillId="0" borderId="0" xfId="0" applyFont="1" applyAlignment="1">
      <alignment vertical="center" wrapText="1"/>
    </xf>
    <xf numFmtId="0" fontId="1" fillId="2" borderId="0" xfId="0" applyFont="1" applyFill="1" applyAlignment="1">
      <alignment horizontal="lef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xf>
    <xf numFmtId="0" fontId="3" fillId="3" borderId="1" xfId="0" applyFont="1" applyFill="1" applyBorder="1" applyAlignment="1">
      <alignment vertical="center" wrapText="1"/>
    </xf>
    <xf numFmtId="0" fontId="4" fillId="0" borderId="1" xfId="0" applyFont="1" applyBorder="1" applyAlignment="1">
      <alignment vertical="center" wrapText="1"/>
    </xf>
    <xf numFmtId="164" fontId="5" fillId="0" borderId="1" xfId="0" applyNumberFormat="1" applyFont="1" applyBorder="1"/>
    <xf numFmtId="164" fontId="6" fillId="0" borderId="1" xfId="0" applyNumberFormat="1" applyFont="1" applyBorder="1"/>
    <xf numFmtId="165" fontId="6" fillId="0" borderId="1" xfId="0" applyNumberFormat="1" applyFont="1" applyBorder="1"/>
    <xf numFmtId="164" fontId="0" fillId="0" borderId="1" xfId="0" applyNumberFormat="1" applyBorder="1"/>
    <xf numFmtId="0" fontId="7" fillId="0" borderId="0" xfId="0" applyFont="1" applyAlignment="1">
      <alignment vertical="center" wrapText="1"/>
    </xf>
    <xf numFmtId="165" fontId="6" fillId="0" borderId="1" xfId="0" applyNumberFormat="1" applyFont="1" applyBorder="1" applyAlignment="1">
      <alignment vertical="center" wrapText="1"/>
    </xf>
    <xf numFmtId="166" fontId="5" fillId="0" borderId="1" xfId="0" applyNumberFormat="1" applyFont="1" applyBorder="1"/>
    <xf numFmtId="166" fontId="6" fillId="0" borderId="1" xfId="0" applyNumberFormat="1" applyFont="1" applyBorder="1"/>
    <xf numFmtId="0" fontId="9" fillId="4" borderId="1" xfId="0" applyFont="1" applyFill="1" applyBorder="1" applyAlignment="1">
      <alignment vertical="center" wrapText="1"/>
    </xf>
    <xf numFmtId="0" fontId="0" fillId="4" borderId="1" xfId="0" applyFill="1" applyBorder="1"/>
    <xf numFmtId="0" fontId="7" fillId="5" borderId="1" xfId="0" applyFont="1" applyFill="1" applyBorder="1" applyAlignment="1">
      <alignment vertical="center" wrapText="1"/>
    </xf>
    <xf numFmtId="164" fontId="7" fillId="5" borderId="1" xfId="0" applyNumberFormat="1" applyFont="1" applyFill="1" applyBorder="1"/>
    <xf numFmtId="164" fontId="7" fillId="5" borderId="1" xfId="0" applyNumberFormat="1" applyFont="1" applyFill="1" applyBorder="1" applyAlignment="1">
      <alignment vertical="center" wrapText="1"/>
    </xf>
    <xf numFmtId="0" fontId="10" fillId="2" borderId="1" xfId="0" applyFont="1" applyFill="1" applyBorder="1" applyAlignment="1">
      <alignment vertical="center" wrapText="1"/>
    </xf>
    <xf numFmtId="164" fontId="10" fillId="2" borderId="1" xfId="0" applyNumberFormat="1" applyFont="1" applyFill="1" applyBorder="1"/>
    <xf numFmtId="164" fontId="10" fillId="2" borderId="1" xfId="0" applyNumberFormat="1" applyFont="1" applyFill="1" applyBorder="1" applyAlignment="1">
      <alignment vertical="center" wrapText="1"/>
    </xf>
    <xf numFmtId="164" fontId="6" fillId="0" borderId="1" xfId="0" applyNumberFormat="1" applyFont="1" applyBorder="1" applyAlignment="1">
      <alignment vertical="center" wrapText="1"/>
    </xf>
    <xf numFmtId="3" fontId="5" fillId="0" borderId="1" xfId="0" applyNumberFormat="1" applyFont="1" applyBorder="1"/>
    <xf numFmtId="0" fontId="11" fillId="0" borderId="1" xfId="0" applyFont="1" applyBorder="1" applyAlignment="1">
      <alignment vertical="center" wrapText="1"/>
    </xf>
    <xf numFmtId="0" fontId="0" fillId="5" borderId="1" xfId="0" applyFill="1" applyBorder="1"/>
    <xf numFmtId="0" fontId="12" fillId="0" borderId="1" xfId="0" applyFont="1" applyBorder="1" applyAlignment="1">
      <alignment vertical="center" wrapText="1"/>
    </xf>
    <xf numFmtId="164" fontId="12" fillId="0" borderId="1" xfId="0" applyNumberFormat="1" applyFont="1" applyBorder="1"/>
    <xf numFmtId="0" fontId="0" fillId="2" borderId="1" xfId="0"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showGridLines="0" tabSelected="1" zoomScaleNormal="100" workbookViewId="0">
      <selection sqref="A1:E1"/>
    </sheetView>
  </sheetViews>
  <sheetFormatPr baseColWidth="10" defaultColWidth="8.6640625" defaultRowHeight="15" x14ac:dyDescent="0.2"/>
  <cols>
    <col min="1" max="1" width="34" customWidth="1"/>
    <col min="2" max="5" width="15" customWidth="1"/>
  </cols>
  <sheetData>
    <row r="1" spans="1:5" ht="27.75" customHeight="1" x14ac:dyDescent="0.2">
      <c r="A1" s="4" t="s">
        <v>0</v>
      </c>
      <c r="B1" s="4"/>
      <c r="C1" s="4"/>
      <c r="D1" s="4"/>
      <c r="E1" s="4"/>
    </row>
    <row r="2" spans="1:5" ht="21" customHeight="1" x14ac:dyDescent="0.2">
      <c r="A2" s="3" t="s">
        <v>1</v>
      </c>
      <c r="B2" s="3"/>
      <c r="C2" s="3"/>
      <c r="D2" s="3"/>
      <c r="E2" s="3"/>
    </row>
    <row r="4" spans="1:5" ht="15" customHeight="1" x14ac:dyDescent="0.2">
      <c r="A4" s="5" t="s">
        <v>2</v>
      </c>
      <c r="B4" s="6" t="s">
        <v>3</v>
      </c>
      <c r="C4" s="7" t="s">
        <v>4</v>
      </c>
      <c r="D4" s="6" t="s">
        <v>5</v>
      </c>
      <c r="E4" s="6" t="s">
        <v>6</v>
      </c>
    </row>
    <row r="5" spans="1:5" ht="15" customHeight="1" x14ac:dyDescent="0.2">
      <c r="A5" s="8" t="s">
        <v>7</v>
      </c>
      <c r="B5" s="9">
        <v>39864</v>
      </c>
      <c r="C5" s="9">
        <v>38632</v>
      </c>
      <c r="D5" s="10">
        <f t="shared" ref="D5:D10" si="0">IF(B5="","",B5-C5)</f>
        <v>1232</v>
      </c>
      <c r="E5" s="11">
        <f t="shared" ref="E5:E10" si="1">IF(OR(B5="",C5=0),"",B5/C5-1)</f>
        <v>3.1890660592255093E-2</v>
      </c>
    </row>
    <row r="6" spans="1:5" ht="15" customHeight="1" x14ac:dyDescent="0.2">
      <c r="A6" s="8" t="s">
        <v>8</v>
      </c>
      <c r="B6" s="9">
        <v>23222</v>
      </c>
      <c r="C6" s="9">
        <v>22343</v>
      </c>
      <c r="D6" s="10">
        <f t="shared" si="0"/>
        <v>879</v>
      </c>
      <c r="E6" s="11">
        <f t="shared" si="1"/>
        <v>3.9341180682987975E-2</v>
      </c>
    </row>
    <row r="7" spans="1:5" ht="15" customHeight="1" x14ac:dyDescent="0.2">
      <c r="A7" s="8" t="s">
        <v>9</v>
      </c>
      <c r="B7" s="9">
        <v>11267</v>
      </c>
      <c r="C7" s="9">
        <v>10730</v>
      </c>
      <c r="D7" s="10">
        <f t="shared" si="0"/>
        <v>537</v>
      </c>
      <c r="E7" s="11">
        <f t="shared" si="1"/>
        <v>5.00465983224605E-2</v>
      </c>
    </row>
    <row r="8" spans="1:5" ht="15" customHeight="1" x14ac:dyDescent="0.2">
      <c r="A8" s="8" t="s">
        <v>10</v>
      </c>
      <c r="B8" s="9">
        <v>7997</v>
      </c>
      <c r="C8" s="9">
        <v>7551</v>
      </c>
      <c r="D8" s="10">
        <f t="shared" si="0"/>
        <v>446</v>
      </c>
      <c r="E8" s="11">
        <f t="shared" si="1"/>
        <v>5.9065024500066121E-2</v>
      </c>
    </row>
    <row r="9" spans="1:5" ht="15" customHeight="1" x14ac:dyDescent="0.2">
      <c r="A9" s="8" t="s">
        <v>11</v>
      </c>
      <c r="B9" s="12"/>
      <c r="C9" s="9">
        <v>7577</v>
      </c>
      <c r="D9" s="10" t="str">
        <f t="shared" si="0"/>
        <v/>
      </c>
      <c r="E9" s="11" t="str">
        <f t="shared" si="1"/>
        <v/>
      </c>
    </row>
    <row r="10" spans="1:5" ht="15" customHeight="1" x14ac:dyDescent="0.2">
      <c r="A10" s="8" t="s">
        <v>12</v>
      </c>
      <c r="B10" s="9">
        <v>6220</v>
      </c>
      <c r="C10" s="9">
        <v>5866</v>
      </c>
      <c r="D10" s="10">
        <f t="shared" si="0"/>
        <v>354</v>
      </c>
      <c r="E10" s="11">
        <f t="shared" si="1"/>
        <v>6.0347766791680968E-2</v>
      </c>
    </row>
    <row r="12" spans="1:5" ht="15" customHeight="1" x14ac:dyDescent="0.2">
      <c r="A12" s="13" t="s">
        <v>13</v>
      </c>
    </row>
    <row r="13" spans="1:5" ht="15" customHeight="1" x14ac:dyDescent="0.2">
      <c r="A13" s="8" t="s">
        <v>14</v>
      </c>
      <c r="B13" s="11">
        <f>B6/B5</f>
        <v>0.58253060405378287</v>
      </c>
      <c r="C13" s="14">
        <f>C6/C5</f>
        <v>0.57835473182853592</v>
      </c>
    </row>
    <row r="14" spans="1:5" ht="15" customHeight="1" x14ac:dyDescent="0.2">
      <c r="A14" s="8" t="s">
        <v>15</v>
      </c>
      <c r="B14" s="11">
        <f>B7/B5</f>
        <v>0.28263596227172388</v>
      </c>
      <c r="C14" s="14">
        <f>C7/C5</f>
        <v>0.27774901635949473</v>
      </c>
    </row>
    <row r="15" spans="1:5" ht="15" customHeight="1" x14ac:dyDescent="0.2">
      <c r="A15" s="8" t="s">
        <v>16</v>
      </c>
      <c r="B15" s="11">
        <f>B8/B5</f>
        <v>0.20060706401766004</v>
      </c>
      <c r="C15" s="14">
        <f>C8/C5</f>
        <v>0.1954597225098364</v>
      </c>
    </row>
    <row r="16" spans="1:5" ht="15" customHeight="1" x14ac:dyDescent="0.2">
      <c r="A16" s="8" t="s">
        <v>17</v>
      </c>
      <c r="B16" s="11">
        <f>B10/B5</f>
        <v>0.15603050371262292</v>
      </c>
      <c r="C16" s="14">
        <f>C10/C5</f>
        <v>0.15184303168357838</v>
      </c>
    </row>
    <row r="18" spans="1:5" ht="15" customHeight="1" x14ac:dyDescent="0.2">
      <c r="A18" s="13" t="s">
        <v>18</v>
      </c>
    </row>
    <row r="19" spans="1:5" ht="15" customHeight="1" x14ac:dyDescent="0.2">
      <c r="A19" s="8" t="s">
        <v>19</v>
      </c>
      <c r="B19" s="15">
        <v>1.996</v>
      </c>
      <c r="C19" s="15">
        <v>1.8839999999999999</v>
      </c>
      <c r="D19" s="16">
        <f>B19-C19</f>
        <v>0.1120000000000001</v>
      </c>
      <c r="E19" s="11">
        <f>B19/C19-1</f>
        <v>5.9447983014861983E-2</v>
      </c>
    </row>
    <row r="20" spans="1:5" ht="15" customHeight="1" x14ac:dyDescent="0.2">
      <c r="A20" s="8" t="s">
        <v>20</v>
      </c>
      <c r="B20" s="15">
        <v>1.75</v>
      </c>
      <c r="C20" s="15">
        <v>1.68</v>
      </c>
      <c r="D20" s="16">
        <f>B20-C20</f>
        <v>7.0000000000000062E-2</v>
      </c>
      <c r="E20" s="11">
        <f>B20/C20-1</f>
        <v>4.1666666666666741E-2</v>
      </c>
    </row>
    <row r="21" spans="1:5" ht="15" customHeight="1" x14ac:dyDescent="0.2">
      <c r="A21" s="8" t="s">
        <v>21</v>
      </c>
      <c r="B21" s="9">
        <v>10958</v>
      </c>
      <c r="C21" s="9">
        <v>11495</v>
      </c>
      <c r="D21" s="10">
        <f>B21-C21</f>
        <v>-537</v>
      </c>
      <c r="E21" s="11">
        <f>B21/C21-1</f>
        <v>-4.6715963462374943E-2</v>
      </c>
    </row>
    <row r="24" spans="1:5" ht="46.5" customHeight="1" x14ac:dyDescent="0.2">
      <c r="A24" s="2" t="s">
        <v>22</v>
      </c>
      <c r="B24" s="2"/>
      <c r="C24" s="2"/>
      <c r="D24" s="2"/>
      <c r="E24" s="2"/>
    </row>
  </sheetData>
  <mergeCells count="3">
    <mergeCell ref="A1:E1"/>
    <mergeCell ref="A2:E2"/>
    <mergeCell ref="A24:E2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3"/>
  <sheetViews>
    <sheetView showGridLines="0" zoomScaleNormal="100" workbookViewId="0"/>
  </sheetViews>
  <sheetFormatPr baseColWidth="10" defaultColWidth="8.6640625" defaultRowHeight="15" x14ac:dyDescent="0.2"/>
  <cols>
    <col min="1" max="1" width="42" customWidth="1"/>
    <col min="2" max="3" width="16" customWidth="1"/>
  </cols>
  <sheetData>
    <row r="1" spans="1:3" ht="27.75" customHeight="1" x14ac:dyDescent="0.2">
      <c r="A1" s="4" t="s">
        <v>23</v>
      </c>
      <c r="B1" s="4"/>
      <c r="C1" s="4"/>
    </row>
    <row r="2" spans="1:3" ht="21" customHeight="1" x14ac:dyDescent="0.2">
      <c r="A2" s="3" t="s">
        <v>24</v>
      </c>
      <c r="B2" s="3"/>
      <c r="C2" s="3"/>
    </row>
    <row r="4" spans="1:3" ht="15" customHeight="1" x14ac:dyDescent="0.2">
      <c r="A4" s="5" t="s">
        <v>2</v>
      </c>
      <c r="B4" s="6" t="s">
        <v>25</v>
      </c>
      <c r="C4" s="7" t="s">
        <v>26</v>
      </c>
    </row>
    <row r="5" spans="1:3" ht="15" customHeight="1" x14ac:dyDescent="0.2">
      <c r="A5" s="17" t="s">
        <v>27</v>
      </c>
      <c r="B5" s="18"/>
      <c r="C5" s="18"/>
    </row>
    <row r="6" spans="1:3" ht="15" customHeight="1" x14ac:dyDescent="0.2">
      <c r="A6" s="17" t="s">
        <v>28</v>
      </c>
      <c r="B6" s="18"/>
      <c r="C6" s="18"/>
    </row>
    <row r="7" spans="1:3" ht="15" customHeight="1" x14ac:dyDescent="0.2">
      <c r="A7" s="8" t="s">
        <v>29</v>
      </c>
      <c r="B7" s="9">
        <v>5542</v>
      </c>
      <c r="C7" s="9">
        <v>5269</v>
      </c>
    </row>
    <row r="8" spans="1:3" ht="15" customHeight="1" x14ac:dyDescent="0.2">
      <c r="A8" s="8" t="s">
        <v>30</v>
      </c>
      <c r="B8" s="9">
        <v>1840</v>
      </c>
      <c r="C8" s="9">
        <v>1607</v>
      </c>
    </row>
    <row r="9" spans="1:3" ht="15" customHeight="1" x14ac:dyDescent="0.2">
      <c r="A9" s="8" t="s">
        <v>31</v>
      </c>
      <c r="B9" s="9">
        <v>11142</v>
      </c>
      <c r="C9" s="9">
        <v>10014</v>
      </c>
    </row>
    <row r="10" spans="1:3" ht="15" customHeight="1" x14ac:dyDescent="0.2">
      <c r="A10" s="8" t="s">
        <v>32</v>
      </c>
      <c r="B10" s="9">
        <v>471</v>
      </c>
      <c r="C10" s="9">
        <v>450</v>
      </c>
    </row>
    <row r="11" spans="1:3" ht="15" customHeight="1" x14ac:dyDescent="0.2">
      <c r="A11" s="8" t="s">
        <v>33</v>
      </c>
      <c r="B11" s="9">
        <v>952</v>
      </c>
      <c r="C11" s="9">
        <v>1017</v>
      </c>
    </row>
    <row r="12" spans="1:3" ht="15" customHeight="1" x14ac:dyDescent="0.2">
      <c r="A12" s="19" t="s">
        <v>34</v>
      </c>
      <c r="B12" s="20">
        <f>SUM(B7:B11)</f>
        <v>19947</v>
      </c>
      <c r="C12" s="21">
        <f>SUM(C7:C11)</f>
        <v>18357</v>
      </c>
    </row>
    <row r="13" spans="1:3" ht="15" customHeight="1" x14ac:dyDescent="0.2">
      <c r="A13" s="17" t="s">
        <v>35</v>
      </c>
      <c r="B13" s="18"/>
      <c r="C13" s="18"/>
    </row>
    <row r="14" spans="1:3" ht="15" customHeight="1" x14ac:dyDescent="0.2">
      <c r="A14" s="8" t="s">
        <v>36</v>
      </c>
      <c r="B14" s="9">
        <v>3249</v>
      </c>
      <c r="C14" s="9">
        <v>3321</v>
      </c>
    </row>
    <row r="15" spans="1:3" ht="15" customHeight="1" x14ac:dyDescent="0.2">
      <c r="A15" s="8" t="s">
        <v>37</v>
      </c>
      <c r="B15" s="9">
        <v>1166</v>
      </c>
      <c r="C15" s="9">
        <v>1088</v>
      </c>
    </row>
    <row r="16" spans="1:3" ht="15" customHeight="1" x14ac:dyDescent="0.2">
      <c r="A16" s="8" t="s">
        <v>38</v>
      </c>
      <c r="B16" s="9">
        <v>5684</v>
      </c>
      <c r="C16" s="9">
        <v>5120</v>
      </c>
    </row>
    <row r="17" spans="1:3" ht="15" customHeight="1" x14ac:dyDescent="0.2">
      <c r="A17" s="8" t="s">
        <v>39</v>
      </c>
      <c r="B17" s="9">
        <v>5276</v>
      </c>
      <c r="C17" s="9">
        <v>6382</v>
      </c>
    </row>
    <row r="18" spans="1:3" ht="15" customHeight="1" x14ac:dyDescent="0.2">
      <c r="A18" s="8" t="s">
        <v>40</v>
      </c>
      <c r="B18" s="9">
        <v>316</v>
      </c>
      <c r="C18" s="9">
        <v>445</v>
      </c>
    </row>
    <row r="19" spans="1:3" ht="15" customHeight="1" x14ac:dyDescent="0.2">
      <c r="A19" s="19" t="s">
        <v>41</v>
      </c>
      <c r="B19" s="20">
        <f>SUM(B14:B18)</f>
        <v>15691</v>
      </c>
      <c r="C19" s="21">
        <f>SUM(C14:C18)</f>
        <v>16356</v>
      </c>
    </row>
    <row r="20" spans="1:3" ht="15" customHeight="1" x14ac:dyDescent="0.2">
      <c r="A20" s="22" t="s">
        <v>42</v>
      </c>
      <c r="B20" s="23">
        <f>B12+B19</f>
        <v>35638</v>
      </c>
      <c r="C20" s="24">
        <f>C12+C19</f>
        <v>34713</v>
      </c>
    </row>
    <row r="22" spans="1:3" ht="15" customHeight="1" x14ac:dyDescent="0.2">
      <c r="A22" s="17" t="s">
        <v>43</v>
      </c>
      <c r="B22" s="18"/>
      <c r="C22" s="18"/>
    </row>
    <row r="23" spans="1:3" ht="15" customHeight="1" x14ac:dyDescent="0.2">
      <c r="A23" s="17" t="s">
        <v>44</v>
      </c>
      <c r="B23" s="18"/>
      <c r="C23" s="18"/>
    </row>
    <row r="24" spans="1:3" ht="15" customHeight="1" x14ac:dyDescent="0.2">
      <c r="A24" s="8" t="s">
        <v>45</v>
      </c>
      <c r="B24" s="9">
        <v>94</v>
      </c>
      <c r="C24" s="9">
        <v>94</v>
      </c>
    </row>
    <row r="25" spans="1:3" ht="15" customHeight="1" x14ac:dyDescent="0.2">
      <c r="A25" s="8" t="s">
        <v>46</v>
      </c>
      <c r="B25" s="9">
        <v>20</v>
      </c>
      <c r="C25" s="9">
        <v>20</v>
      </c>
    </row>
    <row r="26" spans="1:3" ht="33.75" customHeight="1" x14ac:dyDescent="0.2">
      <c r="A26" s="8" t="s">
        <v>47</v>
      </c>
      <c r="B26" s="9">
        <v>13605</v>
      </c>
      <c r="C26" s="9">
        <v>13128</v>
      </c>
    </row>
    <row r="27" spans="1:3" ht="15" customHeight="1" x14ac:dyDescent="0.2">
      <c r="A27" s="8" t="s">
        <v>48</v>
      </c>
      <c r="B27" s="9">
        <v>6220</v>
      </c>
      <c r="C27" s="9">
        <v>5866</v>
      </c>
    </row>
    <row r="28" spans="1:3" ht="15" customHeight="1" x14ac:dyDescent="0.2">
      <c r="A28" s="8" t="s">
        <v>49</v>
      </c>
      <c r="B28" s="9">
        <v>-7</v>
      </c>
      <c r="C28" s="9">
        <v>-47</v>
      </c>
    </row>
    <row r="29" spans="1:3" ht="33.75" customHeight="1" x14ac:dyDescent="0.2">
      <c r="A29" s="8" t="s">
        <v>50</v>
      </c>
      <c r="B29" s="9">
        <v>463</v>
      </c>
      <c r="C29" s="9">
        <v>615</v>
      </c>
    </row>
    <row r="30" spans="1:3" ht="15" customHeight="1" x14ac:dyDescent="0.2">
      <c r="A30" s="8" t="s">
        <v>51</v>
      </c>
      <c r="B30" s="9">
        <v>0</v>
      </c>
      <c r="C30" s="9">
        <v>0</v>
      </c>
    </row>
    <row r="31" spans="1:3" ht="15" customHeight="1" x14ac:dyDescent="0.2">
      <c r="A31" s="19" t="s">
        <v>52</v>
      </c>
      <c r="B31" s="20">
        <f>SUM(B24:B30)</f>
        <v>20395</v>
      </c>
      <c r="C31" s="21">
        <f>SUM(C24:C30)</f>
        <v>19676</v>
      </c>
    </row>
    <row r="32" spans="1:3" ht="15" customHeight="1" x14ac:dyDescent="0.2">
      <c r="A32" s="8" t="s">
        <v>53</v>
      </c>
      <c r="B32" s="9">
        <v>5071</v>
      </c>
      <c r="C32" s="9">
        <v>4850</v>
      </c>
    </row>
    <row r="33" spans="1:3" ht="15" customHeight="1" x14ac:dyDescent="0.2">
      <c r="A33" s="8" t="s">
        <v>54</v>
      </c>
      <c r="B33" s="9">
        <v>10172</v>
      </c>
      <c r="C33" s="9">
        <v>10187</v>
      </c>
    </row>
    <row r="34" spans="1:3" ht="15" customHeight="1" x14ac:dyDescent="0.2">
      <c r="A34" s="22" t="s">
        <v>55</v>
      </c>
      <c r="B34" s="23">
        <f>B31+B32+B33</f>
        <v>35638</v>
      </c>
      <c r="C34" s="24">
        <f>C31+C32+C33</f>
        <v>34713</v>
      </c>
    </row>
    <row r="36" spans="1:3" ht="33.75" customHeight="1" x14ac:dyDescent="0.2">
      <c r="A36" s="8" t="s">
        <v>56</v>
      </c>
      <c r="B36" s="10">
        <f>B20-B34</f>
        <v>0</v>
      </c>
      <c r="C36" s="25">
        <f>C20-C34</f>
        <v>0</v>
      </c>
    </row>
    <row r="38" spans="1:3" ht="15" customHeight="1" x14ac:dyDescent="0.2">
      <c r="A38" s="17" t="s">
        <v>57</v>
      </c>
      <c r="B38" s="18"/>
      <c r="C38" s="18"/>
    </row>
    <row r="39" spans="1:3" ht="15" customHeight="1" x14ac:dyDescent="0.2">
      <c r="A39" s="8" t="s">
        <v>58</v>
      </c>
      <c r="B39" s="9">
        <v>10958</v>
      </c>
      <c r="C39" s="9">
        <v>11495</v>
      </c>
    </row>
    <row r="40" spans="1:3" ht="15" customHeight="1" x14ac:dyDescent="0.2">
      <c r="A40" s="8" t="s">
        <v>59</v>
      </c>
      <c r="B40" s="26">
        <v>5460</v>
      </c>
      <c r="C40" s="26">
        <v>5563</v>
      </c>
    </row>
    <row r="43" spans="1:3" ht="216" customHeight="1" x14ac:dyDescent="0.2">
      <c r="A43" s="2" t="s">
        <v>60</v>
      </c>
      <c r="B43" s="2"/>
      <c r="C43" s="2"/>
    </row>
  </sheetData>
  <mergeCells count="3">
    <mergeCell ref="A1:C1"/>
    <mergeCell ref="A2:C2"/>
    <mergeCell ref="A43:C4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4"/>
  <sheetViews>
    <sheetView showGridLines="0" zoomScaleNormal="100" workbookViewId="0"/>
  </sheetViews>
  <sheetFormatPr baseColWidth="10" defaultColWidth="8.6640625" defaultRowHeight="15" x14ac:dyDescent="0.2"/>
  <cols>
    <col min="1" max="1" width="50" customWidth="1"/>
    <col min="2" max="2" width="16" customWidth="1"/>
    <col min="3" max="3" width="58" customWidth="1"/>
  </cols>
  <sheetData>
    <row r="1" spans="1:3" ht="27.75" customHeight="1" x14ac:dyDescent="0.2">
      <c r="A1" s="1" t="s">
        <v>61</v>
      </c>
      <c r="B1" s="1"/>
      <c r="C1" s="1"/>
    </row>
    <row r="2" spans="1:3" ht="60" customHeight="1" x14ac:dyDescent="0.2">
      <c r="A2" s="3" t="s">
        <v>62</v>
      </c>
      <c r="B2" s="3"/>
      <c r="C2" s="3"/>
    </row>
    <row r="4" spans="1:3" x14ac:dyDescent="0.2">
      <c r="A4" s="5" t="s">
        <v>2</v>
      </c>
      <c r="B4" s="6" t="s">
        <v>63</v>
      </c>
      <c r="C4" s="7" t="s">
        <v>64</v>
      </c>
    </row>
    <row r="5" spans="1:3" x14ac:dyDescent="0.2">
      <c r="A5" s="17" t="s">
        <v>65</v>
      </c>
      <c r="B5" s="18"/>
      <c r="C5" s="18"/>
    </row>
    <row r="6" spans="1:3" x14ac:dyDescent="0.2">
      <c r="A6" s="8" t="s">
        <v>12</v>
      </c>
      <c r="B6" s="10">
        <f>'Income Statement'!B10</f>
        <v>6220</v>
      </c>
      <c r="C6" s="27" t="s">
        <v>66</v>
      </c>
    </row>
    <row r="7" spans="1:3" x14ac:dyDescent="0.2">
      <c r="A7" s="8" t="s">
        <v>67</v>
      </c>
      <c r="B7" s="10">
        <f>'Income Statement'!B7-'Income Statement'!B8</f>
        <v>3270</v>
      </c>
      <c r="C7" s="27" t="s">
        <v>68</v>
      </c>
    </row>
    <row r="8" spans="1:3" x14ac:dyDescent="0.2">
      <c r="A8" s="8" t="s">
        <v>69</v>
      </c>
      <c r="B8" s="10">
        <f>'Balance Sheet'!C14-'Balance Sheet'!B14</f>
        <v>72</v>
      </c>
      <c r="C8" s="27" t="s">
        <v>70</v>
      </c>
    </row>
    <row r="9" spans="1:3" x14ac:dyDescent="0.2">
      <c r="A9" s="8" t="s">
        <v>71</v>
      </c>
      <c r="B9" s="10">
        <f>'Balance Sheet'!C15-'Balance Sheet'!B15</f>
        <v>-78</v>
      </c>
      <c r="C9" s="27" t="s">
        <v>72</v>
      </c>
    </row>
    <row r="10" spans="1:3" x14ac:dyDescent="0.2">
      <c r="A10" s="8" t="s">
        <v>73</v>
      </c>
      <c r="B10" s="10">
        <f>'Balance Sheet'!C18-'Balance Sheet'!B18</f>
        <v>129</v>
      </c>
      <c r="C10" s="27" t="s">
        <v>74</v>
      </c>
    </row>
    <row r="11" spans="1:3" x14ac:dyDescent="0.2">
      <c r="A11" s="8" t="s">
        <v>75</v>
      </c>
      <c r="B11" s="10">
        <f>'Balance Sheet'!C11-'Balance Sheet'!B11</f>
        <v>65</v>
      </c>
      <c r="C11" s="27" t="s">
        <v>76</v>
      </c>
    </row>
    <row r="12" spans="1:3" ht="33.75" customHeight="1" x14ac:dyDescent="0.2">
      <c r="A12" s="8" t="s">
        <v>77</v>
      </c>
      <c r="B12" s="10">
        <f>'Balance Sheet'!B33-'Balance Sheet'!C33</f>
        <v>-15</v>
      </c>
      <c r="C12" s="27" t="s">
        <v>78</v>
      </c>
    </row>
    <row r="13" spans="1:3" x14ac:dyDescent="0.2">
      <c r="A13" s="19" t="s">
        <v>79</v>
      </c>
      <c r="B13" s="20">
        <f>SUM(B6:B12)</f>
        <v>9663</v>
      </c>
      <c r="C13" s="28"/>
    </row>
    <row r="15" spans="1:3" ht="33.75" customHeight="1" x14ac:dyDescent="0.2">
      <c r="A15" s="17" t="s">
        <v>80</v>
      </c>
      <c r="B15" s="18"/>
      <c r="C15" s="18"/>
    </row>
    <row r="16" spans="1:3" x14ac:dyDescent="0.2">
      <c r="A16" s="29" t="s">
        <v>81</v>
      </c>
      <c r="B16" s="30">
        <f>AVERAGE('Balance Sheet'!B7,'Balance Sheet'!C7)</f>
        <v>5405.5</v>
      </c>
      <c r="C16" s="27" t="s">
        <v>82</v>
      </c>
    </row>
    <row r="17" spans="1:3" x14ac:dyDescent="0.2">
      <c r="A17" s="29" t="s">
        <v>83</v>
      </c>
      <c r="B17" s="30">
        <f>AVERAGE('Balance Sheet'!B9,'Balance Sheet'!C9)</f>
        <v>10578</v>
      </c>
      <c r="C17" s="27" t="s">
        <v>84</v>
      </c>
    </row>
    <row r="18" spans="1:3" ht="33.75" customHeight="1" x14ac:dyDescent="0.2">
      <c r="A18" s="29" t="s">
        <v>85</v>
      </c>
      <c r="B18" s="30">
        <f>AVERAGE('Balance Sheet'!B8,'Balance Sheet'!C8)</f>
        <v>1723.5</v>
      </c>
      <c r="C18" s="27" t="s">
        <v>86</v>
      </c>
    </row>
    <row r="19" spans="1:3" ht="60" customHeight="1" x14ac:dyDescent="0.2">
      <c r="A19" s="29" t="s">
        <v>87</v>
      </c>
      <c r="B19" s="30">
        <f>B7*(B16/(B16+B17+B18))</f>
        <v>998.24843282317727</v>
      </c>
      <c r="C19" s="27" t="s">
        <v>88</v>
      </c>
    </row>
    <row r="20" spans="1:3" x14ac:dyDescent="0.2">
      <c r="A20" s="29" t="s">
        <v>89</v>
      </c>
      <c r="B20" s="30">
        <f>B7-B19</f>
        <v>2271.7515671768228</v>
      </c>
      <c r="C20" s="27" t="s">
        <v>90</v>
      </c>
    </row>
    <row r="21" spans="1:3" ht="46.5" customHeight="1" x14ac:dyDescent="0.2">
      <c r="A21" s="29" t="s">
        <v>91</v>
      </c>
      <c r="B21" s="30">
        <f>(('Balance Sheet'!B9-'Balance Sheet'!C9)+('Balance Sheet'!B8-'Balance Sheet'!C8))+B20</f>
        <v>3632.7515671768228</v>
      </c>
      <c r="C21" s="27" t="s">
        <v>92</v>
      </c>
    </row>
    <row r="22" spans="1:3" ht="46.5" customHeight="1" x14ac:dyDescent="0.2">
      <c r="A22" s="29" t="s">
        <v>93</v>
      </c>
      <c r="B22" s="30">
        <f>B19</f>
        <v>998.24843282317727</v>
      </c>
      <c r="C22" s="27" t="s">
        <v>94</v>
      </c>
    </row>
    <row r="24" spans="1:3" x14ac:dyDescent="0.2">
      <c r="A24" s="17" t="s">
        <v>95</v>
      </c>
      <c r="B24" s="18"/>
      <c r="C24" s="18"/>
    </row>
    <row r="25" spans="1:3" ht="33.75" customHeight="1" x14ac:dyDescent="0.2">
      <c r="A25" s="8" t="s">
        <v>96</v>
      </c>
      <c r="B25" s="10">
        <f>-B21</f>
        <v>-3632.7515671768228</v>
      </c>
      <c r="C25" s="27" t="s">
        <v>97</v>
      </c>
    </row>
    <row r="26" spans="1:3" ht="72.75" customHeight="1" x14ac:dyDescent="0.2">
      <c r="A26" s="8" t="s">
        <v>98</v>
      </c>
      <c r="B26" s="10">
        <f>-('Balance Sheet'!B10-'Balance Sheet'!C10)</f>
        <v>-21</v>
      </c>
      <c r="C26" s="27" t="s">
        <v>99</v>
      </c>
    </row>
    <row r="27" spans="1:3" x14ac:dyDescent="0.2">
      <c r="A27" s="19" t="s">
        <v>100</v>
      </c>
      <c r="B27" s="20">
        <f>SUM(B25:B26)</f>
        <v>-3653.7515671768228</v>
      </c>
      <c r="C27" s="28"/>
    </row>
    <row r="29" spans="1:3" x14ac:dyDescent="0.2">
      <c r="A29" s="17" t="s">
        <v>101</v>
      </c>
      <c r="B29" s="18"/>
      <c r="C29" s="18"/>
    </row>
    <row r="30" spans="1:3" ht="46.5" customHeight="1" x14ac:dyDescent="0.2">
      <c r="A30" s="8" t="s">
        <v>102</v>
      </c>
      <c r="B30" s="10">
        <f>-('Balance Sheet'!C26+'Balance Sheet'!C27-'Balance Sheet'!B26)</f>
        <v>-5389</v>
      </c>
      <c r="C30" s="27" t="s">
        <v>103</v>
      </c>
    </row>
    <row r="31" spans="1:3" ht="33.75" customHeight="1" x14ac:dyDescent="0.2">
      <c r="A31" s="8" t="s">
        <v>104</v>
      </c>
      <c r="B31" s="10">
        <f>-B22</f>
        <v>-998.24843282317727</v>
      </c>
      <c r="C31" s="27" t="s">
        <v>105</v>
      </c>
    </row>
    <row r="32" spans="1:3" x14ac:dyDescent="0.2">
      <c r="A32" s="8" t="s">
        <v>106</v>
      </c>
      <c r="B32" s="10">
        <f>'Balance Sheet'!B28-'Balance Sheet'!C28</f>
        <v>40</v>
      </c>
      <c r="C32" s="27" t="s">
        <v>107</v>
      </c>
    </row>
    <row r="33" spans="1:3" ht="33.75" customHeight="1" x14ac:dyDescent="0.2">
      <c r="A33" s="8" t="s">
        <v>108</v>
      </c>
      <c r="B33" s="10">
        <f>'Balance Sheet'!B29-'Balance Sheet'!C29</f>
        <v>-152</v>
      </c>
      <c r="C33" s="27" t="s">
        <v>109</v>
      </c>
    </row>
    <row r="34" spans="1:3" x14ac:dyDescent="0.2">
      <c r="A34" s="8" t="s">
        <v>110</v>
      </c>
      <c r="B34" s="10">
        <f>'Balance Sheet'!B30-'Balance Sheet'!C30</f>
        <v>0</v>
      </c>
      <c r="C34" s="27" t="s">
        <v>111</v>
      </c>
    </row>
    <row r="35" spans="1:3" ht="124.5" customHeight="1" x14ac:dyDescent="0.2">
      <c r="A35" s="8" t="s">
        <v>112</v>
      </c>
      <c r="B35" s="10">
        <f>(('Balance Sheet'!B17+'Balance Sheet'!B16)-('Balance Sheet'!C17+'Balance Sheet'!C16))-(B13+B27+SUM(B30:B34))</f>
        <v>-51.999999999999091</v>
      </c>
      <c r="C35" s="27" t="s">
        <v>113</v>
      </c>
    </row>
    <row r="36" spans="1:3" x14ac:dyDescent="0.2">
      <c r="A36" s="19" t="s">
        <v>114</v>
      </c>
      <c r="B36" s="20">
        <f>SUM(B30:B35)</f>
        <v>-6551.2484328231767</v>
      </c>
      <c r="C36" s="28"/>
    </row>
    <row r="38" spans="1:3" ht="33.75" customHeight="1" x14ac:dyDescent="0.2">
      <c r="A38" s="22" t="s">
        <v>115</v>
      </c>
      <c r="B38" s="23">
        <f>B13+B27+B36</f>
        <v>-542</v>
      </c>
      <c r="C38" s="31"/>
    </row>
    <row r="39" spans="1:3" ht="33.75" customHeight="1" x14ac:dyDescent="0.2">
      <c r="A39" s="8" t="s">
        <v>116</v>
      </c>
      <c r="B39" s="10">
        <f>'Balance Sheet'!C17+'Balance Sheet'!C16</f>
        <v>11502</v>
      </c>
      <c r="C39" s="27" t="s">
        <v>117</v>
      </c>
    </row>
    <row r="40" spans="1:3" x14ac:dyDescent="0.2">
      <c r="A40" s="22" t="s">
        <v>118</v>
      </c>
      <c r="B40" s="23">
        <f>B38+B39</f>
        <v>10960</v>
      </c>
      <c r="C40" s="31"/>
    </row>
    <row r="41" spans="1:3" ht="33.75" customHeight="1" x14ac:dyDescent="0.2">
      <c r="A41" s="8" t="s">
        <v>119</v>
      </c>
      <c r="B41" s="10">
        <f>B40-('Balance Sheet'!B17+'Balance Sheet'!B16)</f>
        <v>0</v>
      </c>
      <c r="C41" s="27" t="s">
        <v>120</v>
      </c>
    </row>
    <row r="44" spans="1:3" ht="138" customHeight="1" x14ac:dyDescent="0.2">
      <c r="A44" s="2" t="s">
        <v>121</v>
      </c>
      <c r="B44" s="2"/>
      <c r="C44" s="2"/>
    </row>
  </sheetData>
  <mergeCells count="3">
    <mergeCell ref="A1:C1"/>
    <mergeCell ref="A2:C2"/>
    <mergeCell ref="A44:C4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2"/>
  <sheetViews>
    <sheetView showGridLines="0" zoomScaleNormal="100" workbookViewId="0"/>
  </sheetViews>
  <sheetFormatPr baseColWidth="10" defaultColWidth="8.6640625" defaultRowHeight="15" x14ac:dyDescent="0.2"/>
  <cols>
    <col min="1" max="1" width="50" customWidth="1"/>
    <col min="2" max="2" width="16" customWidth="1"/>
    <col min="3" max="3" width="58" customWidth="1"/>
  </cols>
  <sheetData>
    <row r="1" spans="1:3" ht="27.75" customHeight="1" x14ac:dyDescent="0.2">
      <c r="A1" s="1" t="s">
        <v>122</v>
      </c>
      <c r="B1" s="1"/>
      <c r="C1" s="1"/>
    </row>
    <row r="2" spans="1:3" ht="60" customHeight="1" x14ac:dyDescent="0.2">
      <c r="A2" s="3" t="s">
        <v>123</v>
      </c>
      <c r="B2" s="3"/>
      <c r="C2" s="3"/>
    </row>
    <row r="4" spans="1:3" x14ac:dyDescent="0.2">
      <c r="A4" s="5" t="s">
        <v>2</v>
      </c>
      <c r="B4" s="6" t="s">
        <v>63</v>
      </c>
      <c r="C4" s="7" t="s">
        <v>64</v>
      </c>
    </row>
    <row r="5" spans="1:3" x14ac:dyDescent="0.2">
      <c r="A5" s="17" t="s">
        <v>65</v>
      </c>
      <c r="B5" s="18"/>
      <c r="C5" s="18"/>
    </row>
    <row r="6" spans="1:3" ht="33.75" customHeight="1" x14ac:dyDescent="0.2">
      <c r="A6" s="8" t="s">
        <v>124</v>
      </c>
      <c r="B6" s="10">
        <f>'Income Statement'!B5-('Balance Sheet'!B15-'Balance Sheet'!C15)</f>
        <v>39786</v>
      </c>
      <c r="C6" s="27" t="s">
        <v>125</v>
      </c>
    </row>
    <row r="7" spans="1:3" ht="72.75" customHeight="1" x14ac:dyDescent="0.2">
      <c r="A7" s="8" t="s">
        <v>126</v>
      </c>
      <c r="B7" s="10">
        <f>-(('Income Statement'!B5-'Income Statement'!B7)+('Balance Sheet'!B14-'Balance Sheet'!C14)-('Balance Sheet'!B33-'Balance Sheet'!C33)+('Balance Sheet'!B18-'Balance Sheet'!C18)+('Balance Sheet'!B11-'Balance Sheet'!C11))</f>
        <v>-28346</v>
      </c>
      <c r="C7" s="27" t="s">
        <v>127</v>
      </c>
    </row>
    <row r="8" spans="1:3" ht="72.75" customHeight="1" x14ac:dyDescent="0.2">
      <c r="A8" s="8" t="s">
        <v>128</v>
      </c>
      <c r="B8" s="10">
        <f>'Cash Flow (Indirect)'!B13-SUM(B6:B7)</f>
        <v>-1777</v>
      </c>
      <c r="C8" s="27" t="s">
        <v>129</v>
      </c>
    </row>
    <row r="9" spans="1:3" x14ac:dyDescent="0.2">
      <c r="A9" s="19" t="s">
        <v>79</v>
      </c>
      <c r="B9" s="20">
        <f>SUM(B6:B8)</f>
        <v>9663</v>
      </c>
      <c r="C9" s="28"/>
    </row>
    <row r="11" spans="1:3" ht="33.75" customHeight="1" x14ac:dyDescent="0.2">
      <c r="A11" s="17" t="s">
        <v>130</v>
      </c>
      <c r="B11" s="18"/>
      <c r="C11" s="18"/>
    </row>
    <row r="12" spans="1:3" ht="33.75" customHeight="1" x14ac:dyDescent="0.2">
      <c r="A12" s="8" t="s">
        <v>96</v>
      </c>
      <c r="B12" s="10">
        <f>'Cash Flow (Indirect)'!B25</f>
        <v>-3632.7515671768228</v>
      </c>
      <c r="C12" s="27" t="s">
        <v>131</v>
      </c>
    </row>
    <row r="13" spans="1:3" ht="33.75" customHeight="1" x14ac:dyDescent="0.2">
      <c r="A13" s="8" t="s">
        <v>98</v>
      </c>
      <c r="B13" s="10">
        <f>'Cash Flow (Indirect)'!B26</f>
        <v>-21</v>
      </c>
      <c r="C13" s="27" t="s">
        <v>131</v>
      </c>
    </row>
    <row r="14" spans="1:3" x14ac:dyDescent="0.2">
      <c r="A14" s="19" t="s">
        <v>100</v>
      </c>
      <c r="B14" s="20">
        <f>SUM(B12:B13)</f>
        <v>-3653.7515671768228</v>
      </c>
      <c r="C14" s="28"/>
    </row>
    <row r="16" spans="1:3" ht="33.75" customHeight="1" x14ac:dyDescent="0.2">
      <c r="A16" s="17" t="s">
        <v>132</v>
      </c>
      <c r="B16" s="18"/>
      <c r="C16" s="18"/>
    </row>
    <row r="17" spans="1:3" ht="33.75" customHeight="1" x14ac:dyDescent="0.2">
      <c r="A17" s="8" t="s">
        <v>102</v>
      </c>
      <c r="B17" s="10">
        <f>'Cash Flow (Indirect)'!B30</f>
        <v>-5389</v>
      </c>
      <c r="C17" s="27" t="s">
        <v>131</v>
      </c>
    </row>
    <row r="18" spans="1:3" ht="33.75" customHeight="1" x14ac:dyDescent="0.2">
      <c r="A18" s="8" t="s">
        <v>104</v>
      </c>
      <c r="B18" s="10">
        <f>'Cash Flow (Indirect)'!B31</f>
        <v>-998.24843282317727</v>
      </c>
      <c r="C18" s="27" t="s">
        <v>131</v>
      </c>
    </row>
    <row r="19" spans="1:3" ht="33.75" customHeight="1" x14ac:dyDescent="0.2">
      <c r="A19" s="8" t="s">
        <v>106</v>
      </c>
      <c r="B19" s="10">
        <f>'Cash Flow (Indirect)'!B32</f>
        <v>40</v>
      </c>
      <c r="C19" s="27" t="s">
        <v>131</v>
      </c>
    </row>
    <row r="20" spans="1:3" ht="33.75" customHeight="1" x14ac:dyDescent="0.2">
      <c r="A20" s="8" t="s">
        <v>108</v>
      </c>
      <c r="B20" s="10">
        <f>'Cash Flow (Indirect)'!B33</f>
        <v>-152</v>
      </c>
      <c r="C20" s="27" t="s">
        <v>131</v>
      </c>
    </row>
    <row r="21" spans="1:3" ht="33.75" customHeight="1" x14ac:dyDescent="0.2">
      <c r="A21" s="8" t="s">
        <v>110</v>
      </c>
      <c r="B21" s="10">
        <f>'Cash Flow (Indirect)'!B34</f>
        <v>0</v>
      </c>
      <c r="C21" s="27" t="s">
        <v>131</v>
      </c>
    </row>
    <row r="22" spans="1:3" ht="33.75" customHeight="1" x14ac:dyDescent="0.2">
      <c r="A22" s="8" t="s">
        <v>112</v>
      </c>
      <c r="B22" s="10">
        <f>'Cash Flow (Indirect)'!B35</f>
        <v>-51.999999999999091</v>
      </c>
      <c r="C22" s="27" t="s">
        <v>131</v>
      </c>
    </row>
    <row r="23" spans="1:3" x14ac:dyDescent="0.2">
      <c r="A23" s="19" t="s">
        <v>114</v>
      </c>
      <c r="B23" s="20">
        <f>SUM(B17:B22)</f>
        <v>-6551.2484328231767</v>
      </c>
      <c r="C23" s="28"/>
    </row>
    <row r="25" spans="1:3" ht="33.75" customHeight="1" x14ac:dyDescent="0.2">
      <c r="A25" s="22" t="s">
        <v>115</v>
      </c>
      <c r="B25" s="23">
        <f>B9+B14+B23</f>
        <v>-542</v>
      </c>
      <c r="C25" s="31"/>
    </row>
    <row r="26" spans="1:3" ht="33.75" customHeight="1" x14ac:dyDescent="0.2">
      <c r="A26" s="8" t="s">
        <v>116</v>
      </c>
      <c r="B26" s="10">
        <f>'Balance Sheet'!C17+'Balance Sheet'!C16</f>
        <v>11502</v>
      </c>
      <c r="C26" s="27" t="s">
        <v>117</v>
      </c>
    </row>
    <row r="27" spans="1:3" x14ac:dyDescent="0.2">
      <c r="A27" s="22" t="s">
        <v>118</v>
      </c>
      <c r="B27" s="23">
        <f>B25+B26</f>
        <v>10960</v>
      </c>
      <c r="C27" s="31"/>
    </row>
    <row r="28" spans="1:3" ht="33.75" customHeight="1" x14ac:dyDescent="0.2">
      <c r="A28" s="8" t="s">
        <v>119</v>
      </c>
      <c r="B28" s="10">
        <f>B27-('Balance Sheet'!B17+'Balance Sheet'!B16)</f>
        <v>0</v>
      </c>
      <c r="C28" s="27" t="s">
        <v>133</v>
      </c>
    </row>
    <row r="29" spans="1:3" ht="33.75" customHeight="1" x14ac:dyDescent="0.2">
      <c r="A29" s="8" t="s">
        <v>134</v>
      </c>
      <c r="B29" s="10">
        <f>B9-'Cash Flow (Indirect)'!B13</f>
        <v>0</v>
      </c>
      <c r="C29" s="27" t="s">
        <v>135</v>
      </c>
    </row>
    <row r="32" spans="1:3" ht="111.75" customHeight="1" x14ac:dyDescent="0.2">
      <c r="A32" s="2" t="s">
        <v>136</v>
      </c>
      <c r="B32" s="2"/>
      <c r="C32" s="2"/>
    </row>
  </sheetData>
  <mergeCells count="3">
    <mergeCell ref="A1:C1"/>
    <mergeCell ref="A2:C2"/>
    <mergeCell ref="A32:C3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Income Statement</vt:lpstr>
      <vt:lpstr>Balance Sheet</vt:lpstr>
      <vt:lpstr>Cash Flow (Indirect)</vt:lpstr>
      <vt:lpstr>Cash Flow (Direct)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angeles barrios</cp:lastModifiedBy>
  <cp:revision>0</cp:revision>
  <dcterms:created xsi:type="dcterms:W3CDTF">2026-07-21T08:49:13Z</dcterms:created>
  <dcterms:modified xsi:type="dcterms:W3CDTF">2026-07-22T14:39:03Z</dcterms:modified>
  <dc:language>en-US</dc:language>
</cp:coreProperties>
</file>