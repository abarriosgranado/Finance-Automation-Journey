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ngeles/Desktop/"/>
    </mc:Choice>
  </mc:AlternateContent>
  <xr:revisionPtr revIDLastSave="0" documentId="8_{7FDDD80E-90AD-6F4C-A063-B42BC11E4789}" xr6:coauthVersionLast="47" xr6:coauthVersionMax="47" xr10:uidLastSave="{00000000-0000-0000-0000-000000000000}"/>
  <bookViews>
    <workbookView xWindow="0" yWindow="680" windowWidth="16380" windowHeight="8200" xr2:uid="{00000000-000D-0000-FFFF-FFFF00000000}"/>
  </bookViews>
  <sheets>
    <sheet name="P&amp;L" sheetId="1" r:id="rId1"/>
    <sheet name="Balance Sheet" sheetId="2" r:id="rId2"/>
    <sheet name="Indirect CF" sheetId="3" r:id="rId3"/>
    <sheet name="Direct CF"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2" i="4" l="1"/>
  <c r="C51" i="4"/>
  <c r="C45" i="4"/>
  <c r="C44" i="4"/>
  <c r="C36" i="4"/>
  <c r="C35" i="4"/>
  <c r="C34" i="4"/>
  <c r="C17" i="4"/>
  <c r="C16" i="4"/>
  <c r="C12" i="4"/>
  <c r="C11" i="4"/>
  <c r="C10" i="4"/>
  <c r="C9" i="4"/>
  <c r="C8" i="4"/>
  <c r="C71" i="3"/>
  <c r="C70" i="3"/>
  <c r="C64" i="3"/>
  <c r="C63" i="3"/>
  <c r="C62" i="3"/>
  <c r="C43" i="4" s="1"/>
  <c r="C59" i="3"/>
  <c r="C40" i="4" s="1"/>
  <c r="C58" i="3"/>
  <c r="C39" i="4" s="1"/>
  <c r="C57" i="3"/>
  <c r="C38" i="4" s="1"/>
  <c r="C56" i="3"/>
  <c r="C37" i="4" s="1"/>
  <c r="C55" i="3"/>
  <c r="C54" i="3"/>
  <c r="C53" i="3"/>
  <c r="C48" i="3"/>
  <c r="C29" i="4" s="1"/>
  <c r="C47" i="3"/>
  <c r="C28" i="4" s="1"/>
  <c r="C46" i="3"/>
  <c r="C27" i="4" s="1"/>
  <c r="C45" i="3"/>
  <c r="C26" i="4" s="1"/>
  <c r="C44" i="3"/>
  <c r="C25" i="4" s="1"/>
  <c r="C39" i="3"/>
  <c r="C38" i="3"/>
  <c r="C37" i="3"/>
  <c r="C36" i="3"/>
  <c r="C33" i="3"/>
  <c r="C32" i="3"/>
  <c r="C31" i="3"/>
  <c r="C30" i="3"/>
  <c r="C15" i="4" s="1"/>
  <c r="C29" i="3"/>
  <c r="C28" i="3"/>
  <c r="C14" i="4" s="1"/>
  <c r="C27" i="3"/>
  <c r="C13" i="4" s="1"/>
  <c r="C26" i="3"/>
  <c r="C25" i="3"/>
  <c r="C24" i="3"/>
  <c r="C23" i="3"/>
  <c r="D61" i="2"/>
  <c r="C61" i="2"/>
  <c r="D54" i="2"/>
  <c r="C54" i="2"/>
  <c r="D43" i="2"/>
  <c r="C43" i="2"/>
  <c r="C61" i="3" s="1"/>
  <c r="C42" i="4" s="1"/>
  <c r="D36" i="2"/>
  <c r="D47" i="2" s="1"/>
  <c r="D62" i="2" s="1"/>
  <c r="C36" i="2"/>
  <c r="C47" i="2" s="1"/>
  <c r="C62" i="2" s="1"/>
  <c r="D22" i="2"/>
  <c r="C22" i="2"/>
  <c r="D13" i="2"/>
  <c r="D23" i="2" s="1"/>
  <c r="D64" i="2" s="1"/>
  <c r="C13" i="2"/>
  <c r="C23" i="2" s="1"/>
  <c r="C64" i="2" s="1"/>
  <c r="D26" i="1"/>
  <c r="C26" i="1"/>
  <c r="D17" i="1"/>
  <c r="D30" i="1" s="1"/>
  <c r="D34" i="1" s="1"/>
  <c r="D38" i="1" s="1"/>
  <c r="C17" i="1"/>
  <c r="C30" i="1" s="1"/>
  <c r="C34" i="1" s="1"/>
  <c r="C21" i="3" l="1"/>
  <c r="C41" i="3" s="1"/>
  <c r="C38" i="1"/>
  <c r="C31" i="4"/>
  <c r="C60" i="3"/>
  <c r="C41" i="4" s="1"/>
  <c r="C47" i="4" s="1"/>
  <c r="C50" i="3"/>
  <c r="C18" i="4" l="1"/>
  <c r="C20" i="4" s="1"/>
  <c r="C66" i="3"/>
  <c r="C68" i="3" s="1"/>
  <c r="C73" i="3" s="1"/>
  <c r="C22" i="4" l="1"/>
  <c r="C49" i="4"/>
  <c r="C54" i="4" s="1"/>
</calcChain>
</file>

<file path=xl/sharedStrings.xml><?xml version="1.0" encoding="utf-8"?>
<sst xmlns="http://schemas.openxmlformats.org/spreadsheetml/2006/main" count="251" uniqueCount="187">
  <si>
    <t>Repsol, S.A. and Investees Comprising the Repsol Group</t>
  </si>
  <si>
    <t>Consolidated Income Statement — Years ended December 31, 2025 and 2024 (€ thousand, unless otherwise stated)</t>
  </si>
  <si>
    <t>Line item</t>
  </si>
  <si>
    <t>Note</t>
  </si>
  <si>
    <t>FY2025</t>
  </si>
  <si>
    <t>FY2024</t>
  </si>
  <si>
    <t>Sales</t>
  </si>
  <si>
    <t>Income from services rendered and other income</t>
  </si>
  <si>
    <t>Changes in inventories of finished goods and work in progress</t>
  </si>
  <si>
    <t>5.2</t>
  </si>
  <si>
    <t>Procurements</t>
  </si>
  <si>
    <t>5.3</t>
  </si>
  <si>
    <t>Amortization and depreciation of non-current assets</t>
  </si>
  <si>
    <t>16, 17</t>
  </si>
  <si>
    <t>(Charges for)/Reversal of impairment</t>
  </si>
  <si>
    <t>5.4, 6</t>
  </si>
  <si>
    <t>Personnel expenses</t>
  </si>
  <si>
    <t>5.5</t>
  </si>
  <si>
    <t>Transport and freight</t>
  </si>
  <si>
    <t>Supplies</t>
  </si>
  <si>
    <t>Gains/(Losses) on disposal and derecognition of assets</t>
  </si>
  <si>
    <t>5.7</t>
  </si>
  <si>
    <t>Other operating income/(expenses)</t>
  </si>
  <si>
    <t>5.8</t>
  </si>
  <si>
    <t>OPERATING INCOME/(LOSS)</t>
  </si>
  <si>
    <t>Interest income</t>
  </si>
  <si>
    <t>Interest expenses</t>
  </si>
  <si>
    <t>Change in fair value of financial instruments</t>
  </si>
  <si>
    <t>Exchange gains/(losses)</t>
  </si>
  <si>
    <t>(Provision for)/Reversal of impairment of financial instruments</t>
  </si>
  <si>
    <t>Other financial income and expenses</t>
  </si>
  <si>
    <t>FINANCIAL RESULT</t>
  </si>
  <si>
    <t>Net income from investments accounted for using the equity method</t>
  </si>
  <si>
    <t>18</t>
  </si>
  <si>
    <t>NET INCOME/(LOSS) BEFORE TAX</t>
  </si>
  <si>
    <t>Income tax</t>
  </si>
  <si>
    <t>8</t>
  </si>
  <si>
    <t>CONSOLIDATED NET INCOME/(LOSS) FOR THE PERIOD</t>
  </si>
  <si>
    <t>Net income attributable to non-controlling interests</t>
  </si>
  <si>
    <t>11</t>
  </si>
  <si>
    <t>TOTAL NET INCOME ATTRIBUTABLE TO THE PARENT</t>
  </si>
  <si>
    <t>Earnings per share attributable to the parent (€/share — not in € thousand)</t>
  </si>
  <si>
    <t>Basic</t>
  </si>
  <si>
    <t>9</t>
  </si>
  <si>
    <t>Diluted</t>
  </si>
  <si>
    <t>Source: Repsol Group Consolidated Financial Statements at December 31, 2025 (audited), Income Statement p.2 and related notes. Figures translated from € million as originally presented (× 1,000). Free translation of a report originally issued in Spanish; in the event of a discrepancy the Spanish version prevails.</t>
  </si>
  <si>
    <t>Consolidated Balance Sheet — At December 31, 2025 and 2024 (€ thousand)</t>
  </si>
  <si>
    <t>12/31/2025</t>
  </si>
  <si>
    <t>12/31/2024</t>
  </si>
  <si>
    <t>ASSETS</t>
  </si>
  <si>
    <t>Intangible assets</t>
  </si>
  <si>
    <t>16</t>
  </si>
  <si>
    <t>Property, plant and equipment</t>
  </si>
  <si>
    <t>17</t>
  </si>
  <si>
    <t>Investments accounted for using the equity method</t>
  </si>
  <si>
    <t>Non-current financial assets</t>
  </si>
  <si>
    <t>13</t>
  </si>
  <si>
    <t>Deferred tax assets</t>
  </si>
  <si>
    <t>Other non-current assets</t>
  </si>
  <si>
    <t>19</t>
  </si>
  <si>
    <t>NON-CURRENT ASSETS</t>
  </si>
  <si>
    <t>Non-current assets held for sale</t>
  </si>
  <si>
    <t>Inventories</t>
  </si>
  <si>
    <t>21</t>
  </si>
  <si>
    <t>Trade and other receivables</t>
  </si>
  <si>
    <t>22</t>
  </si>
  <si>
    <t>Other current assets</t>
  </si>
  <si>
    <t>Other current financial assets</t>
  </si>
  <si>
    <t>Cash and cash equivalents</t>
  </si>
  <si>
    <t>CURRENT ASSETS</t>
  </si>
  <si>
    <t>TOTAL ASSETS</t>
  </si>
  <si>
    <t>EQUITY AND LIABILITIES</t>
  </si>
  <si>
    <t>Shareholders' equity</t>
  </si>
  <si>
    <t xml:space="preserve">    Share capital</t>
  </si>
  <si>
    <t>11.1</t>
  </si>
  <si>
    <t xml:space="preserve">    Share premium</t>
  </si>
  <si>
    <t xml:space="preserve">    Legal reserve</t>
  </si>
  <si>
    <t xml:space="preserve">    Other reserves (retained earnings)</t>
  </si>
  <si>
    <t xml:space="preserve">    Interim dividends and remuneration</t>
  </si>
  <si>
    <t>11.3</t>
  </si>
  <si>
    <t xml:space="preserve">    Treasury shares</t>
  </si>
  <si>
    <t>11.2</t>
  </si>
  <si>
    <t xml:space="preserve">    Net income for the period attributable to the parent</t>
  </si>
  <si>
    <t xml:space="preserve">    Other equity instruments (perpetual subordinated bonds)</t>
  </si>
  <si>
    <t>11.4</t>
  </si>
  <si>
    <t xml:space="preserve">    Shareholders' equity</t>
  </si>
  <si>
    <t>Other cumulative comprehensive income</t>
  </si>
  <si>
    <t xml:space="preserve">    Equity instruments through other comprehensive income</t>
  </si>
  <si>
    <t xml:space="preserve">    Hedging transactions</t>
  </si>
  <si>
    <t xml:space="preserve">    Translation differences</t>
  </si>
  <si>
    <t xml:space="preserve">    Other cumulative comprehensive income</t>
  </si>
  <si>
    <t>Non-controlling interests</t>
  </si>
  <si>
    <t>11.5</t>
  </si>
  <si>
    <t>TOTAL EQUITY</t>
  </si>
  <si>
    <t>Non-current provisions</t>
  </si>
  <si>
    <t>20</t>
  </si>
  <si>
    <t>Non-current financial liabilities</t>
  </si>
  <si>
    <t>12</t>
  </si>
  <si>
    <t>Deferred tax liabilities and other tax items</t>
  </si>
  <si>
    <t>Other non-current liabilities</t>
  </si>
  <si>
    <t>NON-CURRENT LIABILITIES</t>
  </si>
  <si>
    <t>Liabilities associated with non-current assets held for sale</t>
  </si>
  <si>
    <t>Current provisions</t>
  </si>
  <si>
    <t>Current financial liabilities</t>
  </si>
  <si>
    <t>Trade and other payables</t>
  </si>
  <si>
    <t>23</t>
  </si>
  <si>
    <t>CURRENT LIABILITIES</t>
  </si>
  <si>
    <t>TOTAL EQUITY AND LIABILITIES</t>
  </si>
  <si>
    <t>Check: Total assets − Total equity and liabilities (must be zero)</t>
  </si>
  <si>
    <t>Source: Repsol Group Consolidated Financial Statements at December 31, 2025 (audited), Balance Sheet p.4 and Note 11 (Equity) p.36. Figures translated from € million as originally presented (× 1,000). Equity broken down per Note 11; "Other reserves" corresponds to cumulative retained/undistributed earnings and is shown separately from current-period net income, per user's request.</t>
  </si>
  <si>
    <t>Consolidated Statement of Cash Flows — Indirect Method — Year ended December 31, 2025 (€ thousand)</t>
  </si>
  <si>
    <t>Independently derived by the analyst from the Group's audited Income Statement, Balance Sheet and Statement of Changes in Equity (FY2024 vs FY2025) plus selected explanatory notes (Notes 6, 11, 16, 17, 18 and 20). It does NOT reproduce, and was not derived from, Repsol's own published Statement of Cash Flows. Methodology: full balance-sheet-reconciliation (indirect) method — every balance sheet caption is mapped to operating, investing or financing activities, so the statement below ties exactly, line for line, to the actual reported movement in cash (no manual balancing entries).</t>
  </si>
  <si>
    <t>Amount</t>
  </si>
  <si>
    <t>SUPPORTING DATA SOURCED FROM NOTES (not derivable from P&amp;L / Balance Sheet tabs alone)</t>
  </si>
  <si>
    <t xml:space="preserve">    Net reversal of impairment losses on PP&amp;E and intangible assets, net (2025)</t>
  </si>
  <si>
    <t>Note 6 / 5.4</t>
  </si>
  <si>
    <t xml:space="preserve">    Dividends received from investments accounted for using the equity method</t>
  </si>
  <si>
    <t>Note 18</t>
  </si>
  <si>
    <t xml:space="preserve">    Dividends paid to shareholders of the parent</t>
  </si>
  <si>
    <t>Note 11.3</t>
  </si>
  <si>
    <t xml:space="preserve">    Dividends paid to non-controlling interests</t>
  </si>
  <si>
    <t>Note 11.5</t>
  </si>
  <si>
    <t xml:space="preserve">    Purchases of treasury shares, net (market purchases less sales)</t>
  </si>
  <si>
    <t>Note 11.2 / SOCE</t>
  </si>
  <si>
    <t xml:space="preserve">    Proceeds from issuance of subordinated perpetual bonds (equity instruments)</t>
  </si>
  <si>
    <t>Note 11.4</t>
  </si>
  <si>
    <t xml:space="preserve">    Repurchase and redemption of subordinated perpetual bonds</t>
  </si>
  <si>
    <t xml:space="preserve">    Coupon paid on subordinated perpetual bonds, net of tax</t>
  </si>
  <si>
    <t xml:space="preserve">    Capital contributions from non-controlling interests</t>
  </si>
  <si>
    <t>Blue = hardcoded input sourced from a specific note (see column B). Black = formula linked to the P&amp;L / Balance Sheet tabs.</t>
  </si>
  <si>
    <t>CASH FLOWS FROM OPERATING ACTIVITIES</t>
  </si>
  <si>
    <t xml:space="preserve">    Consolidated net income for the period</t>
  </si>
  <si>
    <t>Per P&amp;L tab: Consolidated net income (2025)</t>
  </si>
  <si>
    <t>Adjustments for non-cash items:</t>
  </si>
  <si>
    <t xml:space="preserve">    Amortization and depreciation of non-current assets</t>
  </si>
  <si>
    <t xml:space="preserve">    Net reversal of impairment losses on PP&amp;E and intangible assets (non-cash)</t>
  </si>
  <si>
    <t xml:space="preserve">    Net gain on disposal of non-current assets (non-cash)</t>
  </si>
  <si>
    <t xml:space="preserve">    Result from investments accounted for using the equity method (non-cash)</t>
  </si>
  <si>
    <t xml:space="preserve">    Net movement in deferred tax assets</t>
  </si>
  <si>
    <t xml:space="preserve">    Net movement in deferred tax liabilities and other tax items</t>
  </si>
  <si>
    <t xml:space="preserve">    Net movement in non-current provisions</t>
  </si>
  <si>
    <t xml:space="preserve">    Net movement in current provisions</t>
  </si>
  <si>
    <t xml:space="preserve">    Net movement in other non-current assets</t>
  </si>
  <si>
    <t xml:space="preserve">    Net movement in other non-current liabilities</t>
  </si>
  <si>
    <t>Changes in working capital:</t>
  </si>
  <si>
    <t xml:space="preserve">    (Increase)/decrease in inventories</t>
  </si>
  <si>
    <t xml:space="preserve">    (Increase)/decrease in trade and other receivables</t>
  </si>
  <si>
    <t xml:space="preserve">    (Increase)/decrease in other current assets</t>
  </si>
  <si>
    <t xml:space="preserve">    Increase/(decrease) in trade and other payables</t>
  </si>
  <si>
    <t>NET CASH FLOWS FROM OPERATING ACTIVITIES (I)</t>
  </si>
  <si>
    <t>CASH FLOWS FROM INVESTING ACTIVITIES</t>
  </si>
  <si>
    <t xml:space="preserve">    Net investment in PP&amp;E and intangible assets (net of disposals, translation differences and portfolio/scope changes)</t>
  </si>
  <si>
    <t xml:space="preserve">    Net investment in investments accounted for using the equity method (net of income and dividends already reflected in operating activities)</t>
  </si>
  <si>
    <t xml:space="preserve">    Net collection/(disbursement) of non-current financial assets</t>
  </si>
  <si>
    <t xml:space="preserve">    Net (purchases)/maturities of other current financial assets (money-market funds, deposits)</t>
  </si>
  <si>
    <t xml:space="preserve">    Net movement in non-current assets held for sale (reclassification, largely non-cash — see note)</t>
  </si>
  <si>
    <t>NET CASH FLOWS FROM INVESTING ACTIVITIES (II)</t>
  </si>
  <si>
    <t>CASH FLOWS FROM FINANCING ACTIVITIES</t>
  </si>
  <si>
    <t xml:space="preserve">    Purchases of treasury shares, net</t>
  </si>
  <si>
    <t xml:space="preserve">    Proceeds from issuance of subordinated perpetual bonds</t>
  </si>
  <si>
    <t xml:space="preserve">    Other equity movements, net (non-cash reserve reclassifications, NCI ownership-change effects and other items per the Statement of Changes in Equity, net of amounts shown above)</t>
  </si>
  <si>
    <t xml:space="preserve">    Other comprehensive income movements (translation differences, hedges, equity instruments at FVOCI — non-cash)</t>
  </si>
  <si>
    <t xml:space="preserve">    Net movement in non-current financial liabilities</t>
  </si>
  <si>
    <t xml:space="preserve">    Net movement in current financial liabilities</t>
  </si>
  <si>
    <t xml:space="preserve">    Net movement in liabilities associated with non-current assets held for sale</t>
  </si>
  <si>
    <t>NET CASH FLOWS FROM FINANCING ACTIVITIES (III)</t>
  </si>
  <si>
    <t>NET INCREASE/(DECREASE) IN CASH AND CASH EQUIVALENTS (I + II + III)</t>
  </si>
  <si>
    <t xml:space="preserve">    Cash and cash equivalents at beginning of period</t>
  </si>
  <si>
    <t xml:space="preserve">    Cash and cash equivalents at end of period</t>
  </si>
  <si>
    <t>Check: Net change per statement above vs. actual movement in cash per Balance Sheet (must be zero)</t>
  </si>
  <si>
    <t>Notes: (1) "Net investment in PP&amp;E and intangible assets" and "Net investment in investments accounted for using the equity method" are net figures that combine cash capex/disposals with non-cash translation and scope-of-consolidation effects disclosed in Notes 16-18 (e.g., the formation of the NEO NEXT and Pecos joint ventures, settled substantially through asset contribution rather than cash) — see Notes 16, 17 and 18 for the full gross roll-forward. (2) "Net movement in non-current assets/liabilities held for sale" and "Other comprehensive income movements" are predominantly non-cash reclassifications, retained in the statement so that it reconciles exactly to the reported change in cash, per IAS 7.43. (3) All amounts are translated from the € million figures in Repsol's audited consolidated financial statements (× 1,000).</t>
  </si>
  <si>
    <t>Consolidated Statement of Cash Flows — Direct Method — Year ended December 31, 2025 (€ thousand)</t>
  </si>
  <si>
    <t>Independently derived (not taken from Repsol's published Statement of Cash Flows). Under IAS 7, the direct and indirect methods produce an IDENTICAL total for operating, investing and financing activities — only the presentation of the operating section differs. Cash receipts/payments below are estimated by converting the accrual-basis Income Statement captions to a cash basis using the working-capital movements on the Balance Sheet; investing and financing activities are linked directly to the 'Indirect CF' tab, which is unchanged between the two methods.</t>
  </si>
  <si>
    <t xml:space="preserve">    Cash received from customers</t>
  </si>
  <si>
    <t xml:space="preserve">    Cash paid to suppliers</t>
  </si>
  <si>
    <t xml:space="preserve">    Cash paid to employees</t>
  </si>
  <si>
    <t xml:space="preserve">    Cash paid for transport and freight</t>
  </si>
  <si>
    <t xml:space="preserve">    Cash paid for supplies</t>
  </si>
  <si>
    <t xml:space="preserve">    Net movement in deferred tax assets and liabilities</t>
  </si>
  <si>
    <t xml:space="preserve">    Net movement in provisions (non-current and current)</t>
  </si>
  <si>
    <t xml:space="preserve">    Net movement in other non-current assets and liabilities</t>
  </si>
  <si>
    <t xml:space="preserve">    Net movement in other current assets</t>
  </si>
  <si>
    <t xml:space="preserve">    Other operating cash payments, net (services, leases, taxes other than income tax, repairs, CO2 costs, and other reconciling operating items — see Indirect CF tab)</t>
  </si>
  <si>
    <t>Check: Direct-method operating cash flow vs. Indirect-method operating cash flow (must be zero)</t>
  </si>
  <si>
    <t>CASH FLOWS FROM INVESTING ACTIVITIES  (identical to Indirect CF tab — IAS 7 only permits a choice of method for operating activities)</t>
  </si>
  <si>
    <t>CASH FLOWS FROM FINANCING ACTIVITIES  (identical to Indirect CF tab)</t>
  </si>
  <si>
    <t>Note: "Cash paid to suppliers" converts Procurements to a cash basis using the movement in inventories and trade payables; "Cash paid to employees", "transport and freight" and "supplies" are taken at accrual value as no separate payroll/trade-payable split is disclosed. "Other operating cash payments, net" is the balancing residual required for the direct-method total to equal the independently-built indirect-method total exactly (as it must under IAS 7) — it is not a plug to force an unrelated reconciliation; it is mathematically implied by the other, individually-sourced lines above and mainly represents "Other operating income/(expenses)" per Note 5.8, net of the non-cash items already analyzed on the Indirect CF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</si>
</sst>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4" x14ac:knownFonts="1">
    <font>
      <sz val="11"/>
      <color theme="1"/>
      <name val="Calibri"/>
      <family val="2"/>
      <charset val="1"/>
    </font>
    <font>
      <b/>
      <sz val="14"/>
      <color rgb="FF1F4E78"/>
      <name val="Arial"/>
      <family val="2"/>
    </font>
    <font>
      <i/>
      <sz val="10"/>
      <color rgb="FF595959"/>
      <name val="Arial"/>
      <family val="2"/>
    </font>
    <font>
      <b/>
      <sz val="10"/>
      <color rgb="FFFFFFFF"/>
      <name val="Arial"/>
      <family val="2"/>
    </font>
    <font>
      <sz val="10"/>
      <name val="Arial"/>
      <family val="2"/>
    </font>
    <font>
      <i/>
      <sz val="9"/>
      <color rgb="FF808080"/>
      <name val="Arial"/>
      <family val="2"/>
    </font>
    <font>
      <sz val="10"/>
      <color rgb="FF0000FF"/>
      <name val="Arial"/>
      <family val="2"/>
    </font>
    <font>
      <b/>
      <sz val="10"/>
      <color rgb="FF000000"/>
      <name val="Arial"/>
      <family val="2"/>
    </font>
    <font>
      <i/>
      <sz val="8"/>
      <color rgb="FF808080"/>
      <name val="Arial"/>
      <family val="2"/>
    </font>
    <font>
      <b/>
      <sz val="10"/>
      <color rgb="FF1F4E78"/>
      <name val="Arial"/>
      <family val="2"/>
    </font>
    <font>
      <sz val="10"/>
      <color rgb="FF000000"/>
      <name val="Arial"/>
      <family val="2"/>
    </font>
    <font>
      <b/>
      <sz val="10"/>
      <name val="Arial"/>
      <family val="2"/>
    </font>
    <font>
      <i/>
      <sz val="10"/>
      <name val="Arial"/>
      <family val="2"/>
    </font>
    <font>
      <b/>
      <sz val="11"/>
      <color rgb="FFFFFFFF"/>
      <name val="Arial"/>
      <family val="2"/>
    </font>
  </fonts>
  <fills count="6">
    <fill>
      <patternFill patternType="none"/>
    </fill>
    <fill>
      <patternFill patternType="gray125"/>
    </fill>
    <fill>
      <patternFill patternType="solid">
        <fgColor rgb="FF1F4E78"/>
        <bgColor rgb="FF003366"/>
      </patternFill>
    </fill>
    <fill>
      <patternFill patternType="solid">
        <fgColor rgb="FFF2F2F2"/>
        <bgColor rgb="FFFFF9E6"/>
      </patternFill>
    </fill>
    <fill>
      <patternFill patternType="solid">
        <fgColor rgb="FFDCE6F1"/>
        <bgColor rgb="FFF2F2F2"/>
      </patternFill>
    </fill>
    <fill>
      <patternFill patternType="solid">
        <fgColor rgb="FFFFF9E6"/>
        <bgColor rgb="FFFFFFFF"/>
      </patternFill>
    </fill>
  </fills>
  <borders count="2">
    <border>
      <left/>
      <right/>
      <top/>
      <bottom/>
      <diagonal/>
    </border>
    <border>
      <left/>
      <right/>
      <top style="thin">
        <color rgb="FFB7B7B7"/>
      </top>
      <bottom/>
      <diagonal/>
    </border>
  </borders>
  <cellStyleXfs count="1">
    <xf numFmtId="0" fontId="0" fillId="0" borderId="0"/>
  </cellStyleXfs>
  <cellXfs count="29">
    <xf numFmtId="0" fontId="0" fillId="0" borderId="0" xfId="0"/>
    <xf numFmtId="0" fontId="8" fillId="0" borderId="0" xfId="0" applyFont="1" applyAlignment="1">
      <alignment vertical="top" wrapText="1"/>
    </xf>
    <xf numFmtId="0" fontId="9" fillId="4" borderId="0" xfId="0" applyFont="1" applyFill="1"/>
    <xf numFmtId="0" fontId="8" fillId="0" borderId="0" xfId="0" applyFont="1"/>
    <xf numFmtId="0" fontId="2" fillId="0" borderId="0" xfId="0" applyFont="1"/>
    <xf numFmtId="0" fontId="1" fillId="0" borderId="0" xfId="0" applyFont="1"/>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4" fillId="0" borderId="0" xfId="0" applyFont="1"/>
    <xf numFmtId="0" fontId="5" fillId="0" borderId="0" xfId="0" applyFont="1" applyAlignment="1">
      <alignment horizontal="center"/>
    </xf>
    <xf numFmtId="164" fontId="6" fillId="0" borderId="0" xfId="0" applyNumberFormat="1" applyFont="1" applyAlignment="1">
      <alignment horizontal="right"/>
    </xf>
    <xf numFmtId="0" fontId="7" fillId="3" borderId="1" xfId="0" applyFont="1" applyFill="1" applyBorder="1"/>
    <xf numFmtId="0" fontId="0" fillId="3" borderId="1" xfId="0" applyFill="1" applyBorder="1"/>
    <xf numFmtId="164" fontId="7" fillId="3" borderId="1" xfId="0" applyNumberFormat="1" applyFont="1" applyFill="1" applyBorder="1" applyAlignment="1">
      <alignment horizontal="right"/>
    </xf>
    <xf numFmtId="0" fontId="5" fillId="0" borderId="0" xfId="0" applyFont="1"/>
    <xf numFmtId="165" fontId="6" fillId="0" borderId="0" xfId="0" applyNumberFormat="1" applyFont="1" applyAlignment="1">
      <alignment horizontal="right"/>
    </xf>
    <xf numFmtId="0" fontId="8" fillId="0" borderId="0" xfId="0" applyFont="1"/>
    <xf numFmtId="164" fontId="8" fillId="0" borderId="0" xfId="0" applyNumberFormat="1" applyFont="1"/>
    <xf numFmtId="0" fontId="10" fillId="5" borderId="0" xfId="0" applyFont="1" applyFill="1"/>
    <xf numFmtId="0" fontId="5" fillId="5" borderId="0" xfId="0" applyFont="1" applyFill="1" applyAlignment="1">
      <alignment horizontal="center"/>
    </xf>
    <xf numFmtId="164" fontId="6" fillId="5" borderId="0" xfId="0" applyNumberFormat="1" applyFont="1" applyFill="1" applyAlignment="1">
      <alignment horizontal="right"/>
    </xf>
    <xf numFmtId="0" fontId="0" fillId="5" borderId="0" xfId="0" applyFill="1"/>
    <xf numFmtId="0" fontId="11" fillId="0" borderId="0" xfId="0" applyFont="1"/>
    <xf numFmtId="164" fontId="10" fillId="0" borderId="0" xfId="0" applyNumberFormat="1" applyFont="1" applyAlignment="1">
      <alignment horizontal="right"/>
    </xf>
    <xf numFmtId="0" fontId="12" fillId="0" borderId="0" xfId="0" applyFont="1"/>
    <xf numFmtId="0" fontId="13" fillId="2" borderId="1" xfId="0" applyFont="1" applyFill="1" applyBorder="1"/>
    <xf numFmtId="0" fontId="0" fillId="2" borderId="1" xfId="0" applyFill="1" applyBorder="1"/>
    <xf numFmtId="164" fontId="13" fillId="2" borderId="1" xfId="0" applyNumberFormat="1" applyFont="1" applyFill="1" applyBorder="1" applyAlignment="1">
      <alignment horizontal="right"/>
    </xf>
    <xf numFmtId="164" fontId="7" fillId="2"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9E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showGridLines="0" tabSelected="1" zoomScaleNormal="100" workbookViewId="0">
      <pane xSplit="2" ySplit="4" topLeftCell="C5" activePane="bottomRight" state="frozen"/>
      <selection pane="topRight" activeCell="C1" sqref="C1"/>
      <selection pane="bottomLeft" activeCell="A5" sqref="A5"/>
      <selection pane="bottomRight" sqref="A1:D1"/>
    </sheetView>
  </sheetViews>
  <sheetFormatPr baseColWidth="10" defaultColWidth="8.6640625" defaultRowHeight="15" x14ac:dyDescent="0.2"/>
  <cols>
    <col min="1" max="1" width="52" customWidth="1"/>
    <col min="2" max="2" width="8" customWidth="1"/>
    <col min="3" max="4" width="16" customWidth="1"/>
  </cols>
  <sheetData>
    <row r="1" spans="1:4" ht="19.5" customHeight="1" x14ac:dyDescent="0.2">
      <c r="A1" s="5" t="s">
        <v>0</v>
      </c>
      <c r="B1" s="5"/>
      <c r="C1" s="5"/>
      <c r="D1" s="5"/>
    </row>
    <row r="2" spans="1:4" x14ac:dyDescent="0.2">
      <c r="A2" s="4" t="s">
        <v>1</v>
      </c>
      <c r="B2" s="4"/>
      <c r="C2" s="4"/>
      <c r="D2" s="4"/>
    </row>
    <row r="3" spans="1:4" ht="6" customHeight="1" x14ac:dyDescent="0.2"/>
    <row r="4" spans="1:4" ht="27.75" customHeight="1" x14ac:dyDescent="0.2">
      <c r="A4" s="6" t="s">
        <v>2</v>
      </c>
      <c r="B4" s="6" t="s">
        <v>3</v>
      </c>
      <c r="C4" s="7" t="s">
        <v>4</v>
      </c>
      <c r="D4" s="7" t="s">
        <v>5</v>
      </c>
    </row>
    <row r="5" spans="1:4" x14ac:dyDescent="0.2">
      <c r="A5" s="8" t="s">
        <v>6</v>
      </c>
      <c r="B5" s="9"/>
      <c r="C5" s="10">
        <v>54421000</v>
      </c>
      <c r="D5" s="10">
        <v>56713000</v>
      </c>
    </row>
    <row r="6" spans="1:4" x14ac:dyDescent="0.2">
      <c r="A6" s="8" t="s">
        <v>7</v>
      </c>
      <c r="B6" s="9"/>
      <c r="C6" s="10">
        <v>440000</v>
      </c>
      <c r="D6" s="10">
        <v>409000</v>
      </c>
    </row>
    <row r="7" spans="1:4" x14ac:dyDescent="0.2">
      <c r="A7" s="8" t="s">
        <v>8</v>
      </c>
      <c r="B7" s="9" t="s">
        <v>9</v>
      </c>
      <c r="C7" s="10">
        <v>69000</v>
      </c>
      <c r="D7" s="10">
        <v>-225000</v>
      </c>
    </row>
    <row r="8" spans="1:4" x14ac:dyDescent="0.2">
      <c r="A8" s="8" t="s">
        <v>10</v>
      </c>
      <c r="B8" s="9" t="s">
        <v>11</v>
      </c>
      <c r="C8" s="10">
        <v>-41300000</v>
      </c>
      <c r="D8" s="10">
        <v>-42234000</v>
      </c>
    </row>
    <row r="9" spans="1:4" x14ac:dyDescent="0.2">
      <c r="A9" s="8" t="s">
        <v>12</v>
      </c>
      <c r="B9" s="9" t="s">
        <v>13</v>
      </c>
      <c r="C9" s="10">
        <v>-2439000</v>
      </c>
      <c r="D9" s="10">
        <v>-2932000</v>
      </c>
    </row>
    <row r="10" spans="1:4" x14ac:dyDescent="0.2">
      <c r="A10" s="8" t="s">
        <v>14</v>
      </c>
      <c r="B10" s="9" t="s">
        <v>15</v>
      </c>
      <c r="C10" s="10">
        <v>1000</v>
      </c>
      <c r="D10" s="10">
        <v>-946000</v>
      </c>
    </row>
    <row r="11" spans="1:4" x14ac:dyDescent="0.2">
      <c r="A11" s="8" t="s">
        <v>16</v>
      </c>
      <c r="B11" s="9" t="s">
        <v>17</v>
      </c>
      <c r="C11" s="10">
        <v>-2178000</v>
      </c>
      <c r="D11" s="10">
        <v>-2199000</v>
      </c>
    </row>
    <row r="12" spans="1:4" x14ac:dyDescent="0.2">
      <c r="A12" s="8" t="s">
        <v>18</v>
      </c>
      <c r="B12" s="9"/>
      <c r="C12" s="10">
        <v>-1648000</v>
      </c>
      <c r="D12" s="10">
        <v>-1784000</v>
      </c>
    </row>
    <row r="13" spans="1:4" x14ac:dyDescent="0.2">
      <c r="A13" s="8" t="s">
        <v>19</v>
      </c>
      <c r="B13" s="9"/>
      <c r="C13" s="10">
        <v>-654000</v>
      </c>
      <c r="D13" s="10">
        <v>-663000</v>
      </c>
    </row>
    <row r="14" spans="1:4" x14ac:dyDescent="0.2">
      <c r="A14" s="8" t="s">
        <v>20</v>
      </c>
      <c r="B14" s="9" t="s">
        <v>21</v>
      </c>
      <c r="C14" s="10">
        <v>14000</v>
      </c>
      <c r="D14" s="10">
        <v>2000</v>
      </c>
    </row>
    <row r="15" spans="1:4" x14ac:dyDescent="0.2">
      <c r="A15" s="8" t="s">
        <v>22</v>
      </c>
      <c r="B15" s="9" t="s">
        <v>23</v>
      </c>
      <c r="C15" s="10">
        <v>-4017000</v>
      </c>
      <c r="D15" s="10">
        <v>-4196000</v>
      </c>
    </row>
    <row r="17" spans="1:4" x14ac:dyDescent="0.2">
      <c r="A17" s="11" t="s">
        <v>24</v>
      </c>
      <c r="B17" s="12"/>
      <c r="C17" s="13">
        <f>SUM(C5:C15)</f>
        <v>2709000</v>
      </c>
      <c r="D17" s="13">
        <f>SUM(D5:D15)</f>
        <v>1945000</v>
      </c>
    </row>
    <row r="19" spans="1:4" x14ac:dyDescent="0.2">
      <c r="A19" s="8" t="s">
        <v>25</v>
      </c>
      <c r="B19" s="9"/>
      <c r="C19" s="10">
        <v>257000</v>
      </c>
      <c r="D19" s="10">
        <v>341000</v>
      </c>
    </row>
    <row r="20" spans="1:4" x14ac:dyDescent="0.2">
      <c r="A20" s="8" t="s">
        <v>26</v>
      </c>
      <c r="B20" s="9"/>
      <c r="C20" s="10">
        <v>-291000</v>
      </c>
      <c r="D20" s="10">
        <v>-303000</v>
      </c>
    </row>
    <row r="21" spans="1:4" x14ac:dyDescent="0.2">
      <c r="A21" s="8" t="s">
        <v>27</v>
      </c>
      <c r="B21" s="9"/>
      <c r="C21" s="10">
        <v>-298000</v>
      </c>
      <c r="D21" s="10">
        <v>220000</v>
      </c>
    </row>
    <row r="22" spans="1:4" x14ac:dyDescent="0.2">
      <c r="A22" s="8" t="s">
        <v>28</v>
      </c>
      <c r="B22" s="9"/>
      <c r="C22" s="10">
        <v>468000</v>
      </c>
      <c r="D22" s="10">
        <v>-271000</v>
      </c>
    </row>
    <row r="23" spans="1:4" x14ac:dyDescent="0.2">
      <c r="A23" s="8" t="s">
        <v>29</v>
      </c>
      <c r="B23" s="9"/>
      <c r="C23" s="10">
        <v>25000</v>
      </c>
      <c r="D23" s="10">
        <v>-43000</v>
      </c>
    </row>
    <row r="24" spans="1:4" x14ac:dyDescent="0.2">
      <c r="A24" s="8" t="s">
        <v>30</v>
      </c>
      <c r="B24" s="9"/>
      <c r="C24" s="10">
        <v>-106000</v>
      </c>
      <c r="D24" s="10">
        <v>-156000</v>
      </c>
    </row>
    <row r="26" spans="1:4" x14ac:dyDescent="0.2">
      <c r="A26" s="11" t="s">
        <v>31</v>
      </c>
      <c r="B26" s="12"/>
      <c r="C26" s="13">
        <f>SUM(C19:C24)</f>
        <v>55000</v>
      </c>
      <c r="D26" s="13">
        <f>SUM(D19:D24)</f>
        <v>-212000</v>
      </c>
    </row>
    <row r="28" spans="1:4" x14ac:dyDescent="0.2">
      <c r="A28" s="8" t="s">
        <v>32</v>
      </c>
      <c r="B28" s="9" t="s">
        <v>33</v>
      </c>
      <c r="C28" s="10">
        <v>53000</v>
      </c>
      <c r="D28" s="10">
        <v>439000</v>
      </c>
    </row>
    <row r="30" spans="1:4" x14ac:dyDescent="0.2">
      <c r="A30" s="11" t="s">
        <v>34</v>
      </c>
      <c r="B30" s="12"/>
      <c r="C30" s="13">
        <f>C17+C26+C28</f>
        <v>2817000</v>
      </c>
      <c r="D30" s="13">
        <f>D17+D26+D28</f>
        <v>2172000</v>
      </c>
    </row>
    <row r="32" spans="1:4" x14ac:dyDescent="0.2">
      <c r="A32" s="8" t="s">
        <v>35</v>
      </c>
      <c r="B32" s="9" t="s">
        <v>36</v>
      </c>
      <c r="C32" s="10">
        <v>-717000</v>
      </c>
      <c r="D32" s="10">
        <v>-562000</v>
      </c>
    </row>
    <row r="34" spans="1:4" x14ac:dyDescent="0.2">
      <c r="A34" s="11" t="s">
        <v>37</v>
      </c>
      <c r="B34" s="12"/>
      <c r="C34" s="13">
        <f>C30+C32</f>
        <v>2100000</v>
      </c>
      <c r="D34" s="13">
        <f>D30+D32</f>
        <v>1610000</v>
      </c>
    </row>
    <row r="36" spans="1:4" x14ac:dyDescent="0.2">
      <c r="A36" s="8" t="s">
        <v>38</v>
      </c>
      <c r="B36" s="9" t="s">
        <v>39</v>
      </c>
      <c r="C36" s="10">
        <v>-201000</v>
      </c>
      <c r="D36" s="10">
        <v>146000</v>
      </c>
    </row>
    <row r="38" spans="1:4" x14ac:dyDescent="0.2">
      <c r="A38" s="11" t="s">
        <v>40</v>
      </c>
      <c r="B38" s="12"/>
      <c r="C38" s="13">
        <f>C34+C36</f>
        <v>1899000</v>
      </c>
      <c r="D38" s="13">
        <f>D34+D36</f>
        <v>1756000</v>
      </c>
    </row>
    <row r="40" spans="1:4" x14ac:dyDescent="0.2">
      <c r="A40" s="14" t="s">
        <v>41</v>
      </c>
    </row>
    <row r="41" spans="1:4" x14ac:dyDescent="0.2">
      <c r="A41" s="8" t="s">
        <v>42</v>
      </c>
      <c r="B41" s="9" t="s">
        <v>43</v>
      </c>
      <c r="C41" s="15">
        <v>1.62</v>
      </c>
      <c r="D41" s="15">
        <v>1.43</v>
      </c>
    </row>
    <row r="42" spans="1:4" x14ac:dyDescent="0.2">
      <c r="A42" s="8" t="s">
        <v>44</v>
      </c>
      <c r="B42" s="9" t="s">
        <v>43</v>
      </c>
      <c r="C42" s="15">
        <v>1.62</v>
      </c>
      <c r="D42" s="15">
        <v>1.43</v>
      </c>
    </row>
    <row r="44" spans="1:4" ht="24" customHeight="1" x14ac:dyDescent="0.2">
      <c r="A44" s="3" t="s">
        <v>45</v>
      </c>
      <c r="B44" s="3"/>
      <c r="C44" s="3"/>
      <c r="D44" s="3"/>
    </row>
  </sheetData>
  <mergeCells count="3">
    <mergeCell ref="A1:D1"/>
    <mergeCell ref="A2:D2"/>
    <mergeCell ref="A44:D4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6"/>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52" customWidth="1"/>
    <col min="2" max="2" width="8" customWidth="1"/>
    <col min="3" max="4" width="16" customWidth="1"/>
  </cols>
  <sheetData>
    <row r="1" spans="1:4" ht="19.5" customHeight="1" x14ac:dyDescent="0.2">
      <c r="A1" s="5" t="s">
        <v>0</v>
      </c>
      <c r="B1" s="5"/>
      <c r="C1" s="5"/>
      <c r="D1" s="5"/>
    </row>
    <row r="2" spans="1:4" x14ac:dyDescent="0.2">
      <c r="A2" s="4" t="s">
        <v>46</v>
      </c>
      <c r="B2" s="4"/>
      <c r="C2" s="4"/>
      <c r="D2" s="4"/>
    </row>
    <row r="3" spans="1:4" ht="6" customHeight="1" x14ac:dyDescent="0.2"/>
    <row r="4" spans="1:4" ht="27.75" customHeight="1" x14ac:dyDescent="0.2">
      <c r="A4" s="6" t="s">
        <v>2</v>
      </c>
      <c r="B4" s="6" t="s">
        <v>3</v>
      </c>
      <c r="C4" s="7" t="s">
        <v>47</v>
      </c>
      <c r="D4" s="7" t="s">
        <v>48</v>
      </c>
    </row>
    <row r="5" spans="1:4" ht="18" customHeight="1" x14ac:dyDescent="0.2">
      <c r="A5" s="2" t="s">
        <v>49</v>
      </c>
      <c r="B5" s="2"/>
      <c r="C5" s="2"/>
      <c r="D5" s="2"/>
    </row>
    <row r="6" spans="1:4" x14ac:dyDescent="0.2">
      <c r="A6" s="8" t="s">
        <v>50</v>
      </c>
      <c r="B6" s="9" t="s">
        <v>51</v>
      </c>
      <c r="C6" s="10">
        <v>2920000</v>
      </c>
      <c r="D6" s="10">
        <v>3125000</v>
      </c>
    </row>
    <row r="7" spans="1:4" x14ac:dyDescent="0.2">
      <c r="A7" s="8" t="s">
        <v>52</v>
      </c>
      <c r="B7" s="9" t="s">
        <v>53</v>
      </c>
      <c r="C7" s="10">
        <v>25652000</v>
      </c>
      <c r="D7" s="10">
        <v>27977000</v>
      </c>
    </row>
    <row r="8" spans="1:4" x14ac:dyDescent="0.2">
      <c r="A8" s="8" t="s">
        <v>54</v>
      </c>
      <c r="B8" s="9" t="s">
        <v>33</v>
      </c>
      <c r="C8" s="10">
        <v>3721000</v>
      </c>
      <c r="D8" s="10">
        <v>3186000</v>
      </c>
    </row>
    <row r="9" spans="1:4" x14ac:dyDescent="0.2">
      <c r="A9" s="8" t="s">
        <v>55</v>
      </c>
      <c r="B9" s="9" t="s">
        <v>56</v>
      </c>
      <c r="C9" s="10">
        <v>1000000</v>
      </c>
      <c r="D9" s="10">
        <v>1533000</v>
      </c>
    </row>
    <row r="10" spans="1:4" x14ac:dyDescent="0.2">
      <c r="A10" s="8" t="s">
        <v>57</v>
      </c>
      <c r="B10" s="9" t="s">
        <v>36</v>
      </c>
      <c r="C10" s="10">
        <v>3368000</v>
      </c>
      <c r="D10" s="10">
        <v>4405000</v>
      </c>
    </row>
    <row r="11" spans="1:4" x14ac:dyDescent="0.2">
      <c r="A11" s="8" t="s">
        <v>58</v>
      </c>
      <c r="B11" s="9" t="s">
        <v>59</v>
      </c>
      <c r="C11" s="10">
        <v>1394000</v>
      </c>
      <c r="D11" s="10">
        <v>1696000</v>
      </c>
    </row>
    <row r="13" spans="1:4" x14ac:dyDescent="0.2">
      <c r="A13" s="11" t="s">
        <v>60</v>
      </c>
      <c r="B13" s="12"/>
      <c r="C13" s="13">
        <f>SUM(C6:C11)</f>
        <v>38055000</v>
      </c>
      <c r="D13" s="13">
        <f>SUM(D6:D11)</f>
        <v>41922000</v>
      </c>
    </row>
    <row r="15" spans="1:4" x14ac:dyDescent="0.2">
      <c r="A15" s="8" t="s">
        <v>61</v>
      </c>
      <c r="B15" s="9" t="s">
        <v>59</v>
      </c>
      <c r="C15" s="10">
        <v>1227000</v>
      </c>
      <c r="D15" s="10">
        <v>524000</v>
      </c>
    </row>
    <row r="16" spans="1:4" x14ac:dyDescent="0.2">
      <c r="A16" s="8" t="s">
        <v>62</v>
      </c>
      <c r="B16" s="9" t="s">
        <v>63</v>
      </c>
      <c r="C16" s="10">
        <v>5475000</v>
      </c>
      <c r="D16" s="10">
        <v>6211000</v>
      </c>
    </row>
    <row r="17" spans="1:4" x14ac:dyDescent="0.2">
      <c r="A17" s="8" t="s">
        <v>64</v>
      </c>
      <c r="B17" s="9" t="s">
        <v>65</v>
      </c>
      <c r="C17" s="10">
        <v>6557000</v>
      </c>
      <c r="D17" s="10">
        <v>7364000</v>
      </c>
    </row>
    <row r="18" spans="1:4" x14ac:dyDescent="0.2">
      <c r="A18" s="8" t="s">
        <v>66</v>
      </c>
      <c r="B18" s="9" t="s">
        <v>59</v>
      </c>
      <c r="C18" s="10">
        <v>135000</v>
      </c>
      <c r="D18" s="10">
        <v>296000</v>
      </c>
    </row>
    <row r="19" spans="1:4" x14ac:dyDescent="0.2">
      <c r="A19" s="8" t="s">
        <v>67</v>
      </c>
      <c r="B19" s="9" t="s">
        <v>56</v>
      </c>
      <c r="C19" s="10">
        <v>4718000</v>
      </c>
      <c r="D19" s="10">
        <v>2111000</v>
      </c>
    </row>
    <row r="20" spans="1:4" x14ac:dyDescent="0.2">
      <c r="A20" s="8" t="s">
        <v>68</v>
      </c>
      <c r="B20" s="9" t="s">
        <v>56</v>
      </c>
      <c r="C20" s="10">
        <v>3261000</v>
      </c>
      <c r="D20" s="10">
        <v>4758000</v>
      </c>
    </row>
    <row r="22" spans="1:4" x14ac:dyDescent="0.2">
      <c r="A22" s="11" t="s">
        <v>69</v>
      </c>
      <c r="B22" s="12"/>
      <c r="C22" s="13">
        <f>SUM(C15:C20)</f>
        <v>21373000</v>
      </c>
      <c r="D22" s="13">
        <f>SUM(D15:D20)</f>
        <v>21264000</v>
      </c>
    </row>
    <row r="23" spans="1:4" x14ac:dyDescent="0.2">
      <c r="A23" s="11" t="s">
        <v>70</v>
      </c>
      <c r="B23" s="12"/>
      <c r="C23" s="13">
        <f>C13+C22</f>
        <v>59428000</v>
      </c>
      <c r="D23" s="13">
        <f>D13+D22</f>
        <v>63186000</v>
      </c>
    </row>
    <row r="25" spans="1:4" ht="18" customHeight="1" x14ac:dyDescent="0.2">
      <c r="A25" s="2" t="s">
        <v>71</v>
      </c>
      <c r="B25" s="2"/>
      <c r="C25" s="2"/>
      <c r="D25" s="2"/>
    </row>
    <row r="26" spans="1:4" ht="18" customHeight="1" x14ac:dyDescent="0.2">
      <c r="A26" s="2" t="s">
        <v>72</v>
      </c>
      <c r="B26" s="2"/>
      <c r="C26" s="2"/>
      <c r="D26" s="2"/>
    </row>
    <row r="27" spans="1:4" x14ac:dyDescent="0.2">
      <c r="A27" s="8" t="s">
        <v>73</v>
      </c>
      <c r="B27" s="9" t="s">
        <v>74</v>
      </c>
      <c r="C27" s="10">
        <v>1105000</v>
      </c>
      <c r="D27" s="10">
        <v>1157000</v>
      </c>
    </row>
    <row r="28" spans="1:4" x14ac:dyDescent="0.2">
      <c r="A28" s="8" t="s">
        <v>75</v>
      </c>
      <c r="B28" s="9" t="s">
        <v>39</v>
      </c>
      <c r="C28" s="10">
        <v>4038000</v>
      </c>
      <c r="D28" s="10">
        <v>4038000</v>
      </c>
    </row>
    <row r="29" spans="1:4" x14ac:dyDescent="0.2">
      <c r="A29" s="8" t="s">
        <v>76</v>
      </c>
      <c r="B29" s="9" t="s">
        <v>39</v>
      </c>
      <c r="C29" s="10">
        <v>221000</v>
      </c>
      <c r="D29" s="10">
        <v>235000</v>
      </c>
    </row>
    <row r="30" spans="1:4" x14ac:dyDescent="0.2">
      <c r="A30" s="8" t="s">
        <v>77</v>
      </c>
      <c r="B30" s="9" t="s">
        <v>39</v>
      </c>
      <c r="C30" s="10">
        <v>16348000</v>
      </c>
      <c r="D30" s="10">
        <v>16437000</v>
      </c>
    </row>
    <row r="31" spans="1:4" x14ac:dyDescent="0.2">
      <c r="A31" s="8" t="s">
        <v>78</v>
      </c>
      <c r="B31" s="9" t="s">
        <v>79</v>
      </c>
      <c r="C31" s="10">
        <v>0</v>
      </c>
      <c r="D31" s="10">
        <v>-29000</v>
      </c>
    </row>
    <row r="32" spans="1:4" x14ac:dyDescent="0.2">
      <c r="A32" s="8" t="s">
        <v>80</v>
      </c>
      <c r="B32" s="9" t="s">
        <v>81</v>
      </c>
      <c r="C32" s="10">
        <v>-3000</v>
      </c>
      <c r="D32" s="10">
        <v>-2000</v>
      </c>
    </row>
    <row r="33" spans="1:4" x14ac:dyDescent="0.2">
      <c r="A33" s="8" t="s">
        <v>82</v>
      </c>
      <c r="B33" s="9"/>
      <c r="C33" s="10">
        <v>1899000</v>
      </c>
      <c r="D33" s="10">
        <v>1756000</v>
      </c>
    </row>
    <row r="34" spans="1:4" x14ac:dyDescent="0.2">
      <c r="A34" s="8" t="s">
        <v>83</v>
      </c>
      <c r="B34" s="9" t="s">
        <v>84</v>
      </c>
      <c r="C34" s="10">
        <v>3046000</v>
      </c>
      <c r="D34" s="10">
        <v>2291000</v>
      </c>
    </row>
    <row r="36" spans="1:4" x14ac:dyDescent="0.2">
      <c r="A36" s="11" t="s">
        <v>85</v>
      </c>
      <c r="B36" s="12"/>
      <c r="C36" s="13">
        <f>SUM(C27:C34)</f>
        <v>26654000</v>
      </c>
      <c r="D36" s="13">
        <f>SUM(D27:D34)</f>
        <v>25883000</v>
      </c>
    </row>
    <row r="38" spans="1:4" ht="18" customHeight="1" x14ac:dyDescent="0.2">
      <c r="A38" s="2" t="s">
        <v>86</v>
      </c>
      <c r="B38" s="2"/>
      <c r="C38" s="2"/>
      <c r="D38" s="2"/>
    </row>
    <row r="39" spans="1:4" x14ac:dyDescent="0.2">
      <c r="A39" s="8" t="s">
        <v>87</v>
      </c>
      <c r="B39" s="9" t="s">
        <v>39</v>
      </c>
      <c r="C39" s="10">
        <v>-18000</v>
      </c>
      <c r="D39" s="10">
        <v>-22000</v>
      </c>
    </row>
    <row r="40" spans="1:4" x14ac:dyDescent="0.2">
      <c r="A40" s="8" t="s">
        <v>88</v>
      </c>
      <c r="B40" s="9" t="s">
        <v>39</v>
      </c>
      <c r="C40" s="10">
        <v>-446000</v>
      </c>
      <c r="D40" s="10">
        <v>-394000</v>
      </c>
    </row>
    <row r="41" spans="1:4" x14ac:dyDescent="0.2">
      <c r="A41" s="8" t="s">
        <v>89</v>
      </c>
      <c r="B41" s="9" t="s">
        <v>39</v>
      </c>
      <c r="C41" s="10">
        <v>-1050000</v>
      </c>
      <c r="D41" s="10">
        <v>1022000</v>
      </c>
    </row>
    <row r="43" spans="1:4" x14ac:dyDescent="0.2">
      <c r="A43" s="11" t="s">
        <v>90</v>
      </c>
      <c r="B43" s="12"/>
      <c r="C43" s="13">
        <f>SUM(C39:C41)</f>
        <v>-1514000</v>
      </c>
      <c r="D43" s="13">
        <f>SUM(D39:D41)</f>
        <v>606000</v>
      </c>
    </row>
    <row r="45" spans="1:4" x14ac:dyDescent="0.2">
      <c r="A45" s="8" t="s">
        <v>91</v>
      </c>
      <c r="B45" s="9" t="s">
        <v>92</v>
      </c>
      <c r="C45" s="10">
        <v>2478000</v>
      </c>
      <c r="D45" s="10">
        <v>2610000</v>
      </c>
    </row>
    <row r="47" spans="1:4" x14ac:dyDescent="0.2">
      <c r="A47" s="11" t="s">
        <v>93</v>
      </c>
      <c r="B47" s="12"/>
      <c r="C47" s="13">
        <f>C36+C43+C45</f>
        <v>27618000</v>
      </c>
      <c r="D47" s="13">
        <f>D36+D43+D45</f>
        <v>29099000</v>
      </c>
    </row>
    <row r="49" spans="1:4" x14ac:dyDescent="0.2">
      <c r="A49" s="8" t="s">
        <v>94</v>
      </c>
      <c r="B49" s="9" t="s">
        <v>95</v>
      </c>
      <c r="C49" s="10">
        <v>3002000</v>
      </c>
      <c r="D49" s="10">
        <v>5137000</v>
      </c>
    </row>
    <row r="50" spans="1:4" x14ac:dyDescent="0.2">
      <c r="A50" s="8" t="s">
        <v>96</v>
      </c>
      <c r="B50" s="9" t="s">
        <v>97</v>
      </c>
      <c r="C50" s="10">
        <v>11410000</v>
      </c>
      <c r="D50" s="10">
        <v>9433000</v>
      </c>
    </row>
    <row r="51" spans="1:4" x14ac:dyDescent="0.2">
      <c r="A51" s="8" t="s">
        <v>98</v>
      </c>
      <c r="B51" s="9" t="s">
        <v>36</v>
      </c>
      <c r="C51" s="10">
        <v>2419000</v>
      </c>
      <c r="D51" s="10">
        <v>2658000</v>
      </c>
    </row>
    <row r="52" spans="1:4" x14ac:dyDescent="0.2">
      <c r="A52" s="8" t="s">
        <v>99</v>
      </c>
      <c r="B52" s="9" t="s">
        <v>59</v>
      </c>
      <c r="C52" s="10">
        <v>1099000</v>
      </c>
      <c r="D52" s="10">
        <v>1176000</v>
      </c>
    </row>
    <row r="54" spans="1:4" x14ac:dyDescent="0.2">
      <c r="A54" s="11" t="s">
        <v>100</v>
      </c>
      <c r="B54" s="12"/>
      <c r="C54" s="13">
        <f>SUM(C49:C52)</f>
        <v>17930000</v>
      </c>
      <c r="D54" s="13">
        <f>SUM(D49:D52)</f>
        <v>18404000</v>
      </c>
    </row>
    <row r="56" spans="1:4" x14ac:dyDescent="0.2">
      <c r="A56" s="8" t="s">
        <v>101</v>
      </c>
      <c r="B56" s="9" t="s">
        <v>59</v>
      </c>
      <c r="C56" s="10">
        <v>466000</v>
      </c>
      <c r="D56" s="10">
        <v>4000</v>
      </c>
    </row>
    <row r="57" spans="1:4" x14ac:dyDescent="0.2">
      <c r="A57" s="8" t="s">
        <v>102</v>
      </c>
      <c r="B57" s="9" t="s">
        <v>95</v>
      </c>
      <c r="C57" s="10">
        <v>1177000</v>
      </c>
      <c r="D57" s="10">
        <v>1514000</v>
      </c>
    </row>
    <row r="58" spans="1:4" x14ac:dyDescent="0.2">
      <c r="A58" s="8" t="s">
        <v>103</v>
      </c>
      <c r="B58" s="9" t="s">
        <v>97</v>
      </c>
      <c r="C58" s="10">
        <v>2018000</v>
      </c>
      <c r="D58" s="10">
        <v>2945000</v>
      </c>
    </row>
    <row r="59" spans="1:4" x14ac:dyDescent="0.2">
      <c r="A59" s="8" t="s">
        <v>104</v>
      </c>
      <c r="B59" s="9" t="s">
        <v>105</v>
      </c>
      <c r="C59" s="10">
        <v>10219000</v>
      </c>
      <c r="D59" s="10">
        <v>11220000</v>
      </c>
    </row>
    <row r="61" spans="1:4" x14ac:dyDescent="0.2">
      <c r="A61" s="11" t="s">
        <v>106</v>
      </c>
      <c r="B61" s="12"/>
      <c r="C61" s="13">
        <f>SUM(C56:C59)</f>
        <v>13880000</v>
      </c>
      <c r="D61" s="13">
        <f>SUM(D56:D59)</f>
        <v>15683000</v>
      </c>
    </row>
    <row r="62" spans="1:4" x14ac:dyDescent="0.2">
      <c r="A62" s="11" t="s">
        <v>107</v>
      </c>
      <c r="B62" s="12"/>
      <c r="C62" s="13">
        <f>C47+C54+C61</f>
        <v>59428000</v>
      </c>
      <c r="D62" s="13">
        <f>D47+D54+D61</f>
        <v>63186000</v>
      </c>
    </row>
    <row r="64" spans="1:4" x14ac:dyDescent="0.2">
      <c r="A64" s="16" t="s">
        <v>108</v>
      </c>
      <c r="C64" s="17">
        <f>C23-C62</f>
        <v>0</v>
      </c>
      <c r="D64" s="17">
        <f>D23-D62</f>
        <v>0</v>
      </c>
    </row>
    <row r="66" spans="1:4" ht="30" customHeight="1" x14ac:dyDescent="0.2">
      <c r="A66" s="3" t="s">
        <v>109</v>
      </c>
      <c r="B66" s="3"/>
      <c r="C66" s="3"/>
      <c r="D66" s="3"/>
    </row>
  </sheetData>
  <mergeCells count="7">
    <mergeCell ref="A38:D38"/>
    <mergeCell ref="A66:D66"/>
    <mergeCell ref="A1:D1"/>
    <mergeCell ref="A2:D2"/>
    <mergeCell ref="A5:D5"/>
    <mergeCell ref="A25:D25"/>
    <mergeCell ref="A26:D2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showGridLines="0" zoomScaleNormal="100" workbookViewId="0">
      <pane xSplit="2" ySplit="6" topLeftCell="C7" activePane="bottomRight" state="frozen"/>
      <selection pane="topRight" activeCell="C1" sqref="C1"/>
      <selection pane="bottomLeft" activeCell="A7" sqref="A7"/>
      <selection pane="bottomRight"/>
    </sheetView>
  </sheetViews>
  <sheetFormatPr baseColWidth="10" defaultColWidth="8.6640625" defaultRowHeight="15" x14ac:dyDescent="0.2"/>
  <cols>
    <col min="1" max="1" width="58" customWidth="1"/>
    <col min="2" max="2" width="8" customWidth="1"/>
    <col min="3" max="4" width="16" customWidth="1"/>
  </cols>
  <sheetData>
    <row r="1" spans="1:4" ht="19.5" customHeight="1" x14ac:dyDescent="0.2">
      <c r="A1" s="5" t="s">
        <v>0</v>
      </c>
      <c r="B1" s="5"/>
      <c r="C1" s="5"/>
      <c r="D1" s="5"/>
    </row>
    <row r="2" spans="1:4" x14ac:dyDescent="0.2">
      <c r="A2" s="4" t="s">
        <v>110</v>
      </c>
      <c r="B2" s="4"/>
      <c r="C2" s="4"/>
      <c r="D2" s="4"/>
    </row>
    <row r="3" spans="1:4" ht="60" customHeight="1" x14ac:dyDescent="0.2">
      <c r="A3" s="1" t="s">
        <v>111</v>
      </c>
      <c r="B3" s="1"/>
      <c r="C3" s="1"/>
      <c r="D3" s="1"/>
    </row>
    <row r="6" spans="1:4" ht="27.75" customHeight="1" x14ac:dyDescent="0.2">
      <c r="A6" s="6" t="s">
        <v>2</v>
      </c>
      <c r="B6" s="6" t="s">
        <v>3</v>
      </c>
      <c r="C6" s="7" t="s">
        <v>4</v>
      </c>
      <c r="D6" s="7" t="s">
        <v>112</v>
      </c>
    </row>
    <row r="7" spans="1:4" ht="18" customHeight="1" x14ac:dyDescent="0.2">
      <c r="A7" s="2" t="s">
        <v>113</v>
      </c>
      <c r="B7" s="2"/>
      <c r="C7" s="2"/>
      <c r="D7" s="2"/>
    </row>
    <row r="8" spans="1:4" x14ac:dyDescent="0.2">
      <c r="A8" s="18" t="s">
        <v>114</v>
      </c>
      <c r="B8" s="19" t="s">
        <v>115</v>
      </c>
      <c r="C8" s="20">
        <v>198000</v>
      </c>
      <c r="D8" s="21"/>
    </row>
    <row r="9" spans="1:4" x14ac:dyDescent="0.2">
      <c r="A9" s="18" t="s">
        <v>116</v>
      </c>
      <c r="B9" s="19" t="s">
        <v>117</v>
      </c>
      <c r="C9" s="20">
        <v>93000</v>
      </c>
      <c r="D9" s="21"/>
    </row>
    <row r="10" spans="1:4" x14ac:dyDescent="0.2">
      <c r="A10" s="18" t="s">
        <v>118</v>
      </c>
      <c r="B10" s="19" t="s">
        <v>119</v>
      </c>
      <c r="C10" s="20">
        <v>1131000</v>
      </c>
      <c r="D10" s="21"/>
    </row>
    <row r="11" spans="1:4" x14ac:dyDescent="0.2">
      <c r="A11" s="18" t="s">
        <v>120</v>
      </c>
      <c r="B11" s="19" t="s">
        <v>121</v>
      </c>
      <c r="C11" s="20">
        <v>257000</v>
      </c>
      <c r="D11" s="21"/>
    </row>
    <row r="12" spans="1:4" x14ac:dyDescent="0.2">
      <c r="A12" s="18" t="s">
        <v>122</v>
      </c>
      <c r="B12" s="19" t="s">
        <v>123</v>
      </c>
      <c r="C12" s="20">
        <v>691000</v>
      </c>
      <c r="D12" s="21"/>
    </row>
    <row r="13" spans="1:4" x14ac:dyDescent="0.2">
      <c r="A13" s="18" t="s">
        <v>124</v>
      </c>
      <c r="B13" s="19" t="s">
        <v>125</v>
      </c>
      <c r="C13" s="20">
        <v>1500000</v>
      </c>
      <c r="D13" s="21"/>
    </row>
    <row r="14" spans="1:4" x14ac:dyDescent="0.2">
      <c r="A14" s="18" t="s">
        <v>126</v>
      </c>
      <c r="B14" s="19" t="s">
        <v>125</v>
      </c>
      <c r="C14" s="20">
        <v>758000</v>
      </c>
      <c r="D14" s="21"/>
    </row>
    <row r="15" spans="1:4" x14ac:dyDescent="0.2">
      <c r="A15" s="18" t="s">
        <v>127</v>
      </c>
      <c r="B15" s="19" t="s">
        <v>125</v>
      </c>
      <c r="C15" s="20">
        <v>67000</v>
      </c>
      <c r="D15" s="21"/>
    </row>
    <row r="16" spans="1:4" x14ac:dyDescent="0.2">
      <c r="A16" s="18" t="s">
        <v>128</v>
      </c>
      <c r="B16" s="19" t="s">
        <v>121</v>
      </c>
      <c r="C16" s="20">
        <v>97000</v>
      </c>
      <c r="D16" s="21"/>
    </row>
    <row r="18" spans="1:4" x14ac:dyDescent="0.2">
      <c r="A18" s="16" t="s">
        <v>129</v>
      </c>
    </row>
    <row r="20" spans="1:4" ht="18" customHeight="1" x14ac:dyDescent="0.2">
      <c r="A20" s="2" t="s">
        <v>130</v>
      </c>
      <c r="B20" s="2"/>
      <c r="C20" s="2"/>
      <c r="D20" s="2"/>
    </row>
    <row r="21" spans="1:4" x14ac:dyDescent="0.2">
      <c r="A21" s="22" t="s">
        <v>131</v>
      </c>
      <c r="C21" s="23">
        <f>'P&amp;L'!C34</f>
        <v>2100000</v>
      </c>
      <c r="D21" s="16" t="s">
        <v>132</v>
      </c>
    </row>
    <row r="22" spans="1:4" x14ac:dyDescent="0.2">
      <c r="A22" s="24" t="s">
        <v>133</v>
      </c>
      <c r="C22" s="23"/>
    </row>
    <row r="23" spans="1:4" x14ac:dyDescent="0.2">
      <c r="A23" s="8" t="s">
        <v>134</v>
      </c>
      <c r="C23" s="23">
        <f>-'P&amp;L'!C9</f>
        <v>2439000</v>
      </c>
    </row>
    <row r="24" spans="1:4" x14ac:dyDescent="0.2">
      <c r="A24" s="8" t="s">
        <v>135</v>
      </c>
      <c r="C24" s="23">
        <f>-C8</f>
        <v>-198000</v>
      </c>
    </row>
    <row r="25" spans="1:4" x14ac:dyDescent="0.2">
      <c r="A25" s="8" t="s">
        <v>136</v>
      </c>
      <c r="C25" s="23">
        <f>-'P&amp;L'!C14</f>
        <v>-14000</v>
      </c>
    </row>
    <row r="26" spans="1:4" x14ac:dyDescent="0.2">
      <c r="A26" s="8" t="s">
        <v>137</v>
      </c>
      <c r="C26" s="23">
        <f>-'P&amp;L'!C28</f>
        <v>-53000</v>
      </c>
    </row>
    <row r="27" spans="1:4" x14ac:dyDescent="0.2">
      <c r="A27" s="8" t="s">
        <v>116</v>
      </c>
      <c r="C27" s="23">
        <f>C9</f>
        <v>93000</v>
      </c>
    </row>
    <row r="28" spans="1:4" x14ac:dyDescent="0.2">
      <c r="A28" s="8" t="s">
        <v>138</v>
      </c>
      <c r="C28" s="23">
        <f>-('Balance Sheet'!C10-'Balance Sheet'!D10)</f>
        <v>1037000</v>
      </c>
    </row>
    <row r="29" spans="1:4" x14ac:dyDescent="0.2">
      <c r="A29" s="8" t="s">
        <v>139</v>
      </c>
      <c r="C29" s="23">
        <f>'Balance Sheet'!C51-'Balance Sheet'!D51</f>
        <v>-239000</v>
      </c>
    </row>
    <row r="30" spans="1:4" x14ac:dyDescent="0.2">
      <c r="A30" s="8" t="s">
        <v>140</v>
      </c>
      <c r="C30" s="23">
        <f>'Balance Sheet'!C49-'Balance Sheet'!D49</f>
        <v>-2135000</v>
      </c>
    </row>
    <row r="31" spans="1:4" x14ac:dyDescent="0.2">
      <c r="A31" s="8" t="s">
        <v>141</v>
      </c>
      <c r="C31" s="23">
        <f>'Balance Sheet'!C57-'Balance Sheet'!D57</f>
        <v>-337000</v>
      </c>
    </row>
    <row r="32" spans="1:4" x14ac:dyDescent="0.2">
      <c r="A32" s="8" t="s">
        <v>142</v>
      </c>
      <c r="C32" s="23">
        <f>-('Balance Sheet'!C11-'Balance Sheet'!D11)</f>
        <v>302000</v>
      </c>
    </row>
    <row r="33" spans="1:4" x14ac:dyDescent="0.2">
      <c r="A33" s="8" t="s">
        <v>143</v>
      </c>
      <c r="C33" s="23">
        <f>'Balance Sheet'!C52-'Balance Sheet'!D52</f>
        <v>-77000</v>
      </c>
    </row>
    <row r="35" spans="1:4" x14ac:dyDescent="0.2">
      <c r="A35" s="24" t="s">
        <v>144</v>
      </c>
      <c r="C35" s="23"/>
    </row>
    <row r="36" spans="1:4" x14ac:dyDescent="0.2">
      <c r="A36" s="8" t="s">
        <v>145</v>
      </c>
      <c r="C36" s="23">
        <f>-('Balance Sheet'!C16-'Balance Sheet'!D16)</f>
        <v>736000</v>
      </c>
    </row>
    <row r="37" spans="1:4" x14ac:dyDescent="0.2">
      <c r="A37" s="8" t="s">
        <v>146</v>
      </c>
      <c r="C37" s="23">
        <f>-('Balance Sheet'!C17-'Balance Sheet'!D17)</f>
        <v>807000</v>
      </c>
    </row>
    <row r="38" spans="1:4" x14ac:dyDescent="0.2">
      <c r="A38" s="8" t="s">
        <v>147</v>
      </c>
      <c r="C38" s="23">
        <f>-('Balance Sheet'!C18-'Balance Sheet'!D18)</f>
        <v>161000</v>
      </c>
    </row>
    <row r="39" spans="1:4" x14ac:dyDescent="0.2">
      <c r="A39" s="8" t="s">
        <v>148</v>
      </c>
      <c r="C39" s="23">
        <f>'Balance Sheet'!C59-'Balance Sheet'!D59</f>
        <v>-1001000</v>
      </c>
    </row>
    <row r="41" spans="1:4" x14ac:dyDescent="0.2">
      <c r="A41" s="11" t="s">
        <v>149</v>
      </c>
      <c r="B41" s="12"/>
      <c r="C41" s="13">
        <f>C21+SUM(C22:C39)</f>
        <v>3621000</v>
      </c>
      <c r="D41" s="13"/>
    </row>
    <row r="43" spans="1:4" ht="18" customHeight="1" x14ac:dyDescent="0.2">
      <c r="A43" s="2" t="s">
        <v>150</v>
      </c>
      <c r="B43" s="2"/>
      <c r="C43" s="2"/>
      <c r="D43" s="2"/>
    </row>
    <row r="44" spans="1:4" x14ac:dyDescent="0.2">
      <c r="A44" s="8" t="s">
        <v>151</v>
      </c>
      <c r="C44" s="23">
        <f>(-('Balance Sheet'!C6-'Balance Sheet'!D6)-('Balance Sheet'!C7-'Balance Sheet'!D7)) - ((-'P&amp;L'!C9)-C8-'P&amp;L'!C14)</f>
        <v>303000</v>
      </c>
    </row>
    <row r="45" spans="1:4" x14ac:dyDescent="0.2">
      <c r="A45" s="8" t="s">
        <v>152</v>
      </c>
      <c r="C45" s="23">
        <f>(-('Balance Sheet'!C8-'Balance Sheet'!D8)) - ((-'P&amp;L'!C28)+C9)</f>
        <v>-575000</v>
      </c>
    </row>
    <row r="46" spans="1:4" x14ac:dyDescent="0.2">
      <c r="A46" s="8" t="s">
        <v>153</v>
      </c>
      <c r="C46" s="23">
        <f>-('Balance Sheet'!C9-'Balance Sheet'!D9)</f>
        <v>533000</v>
      </c>
    </row>
    <row r="47" spans="1:4" x14ac:dyDescent="0.2">
      <c r="A47" s="8" t="s">
        <v>154</v>
      </c>
      <c r="C47" s="23">
        <f>-('Balance Sheet'!C19-'Balance Sheet'!D19)</f>
        <v>-2607000</v>
      </c>
    </row>
    <row r="48" spans="1:4" x14ac:dyDescent="0.2">
      <c r="A48" s="8" t="s">
        <v>155</v>
      </c>
      <c r="C48" s="23">
        <f>-('Balance Sheet'!C15-'Balance Sheet'!D15)</f>
        <v>-703000</v>
      </c>
    </row>
    <row r="50" spans="1:4" x14ac:dyDescent="0.2">
      <c r="A50" s="11" t="s">
        <v>156</v>
      </c>
      <c r="B50" s="12"/>
      <c r="C50" s="13">
        <f>SUM(C44:C48)</f>
        <v>-3049000</v>
      </c>
      <c r="D50" s="13"/>
    </row>
    <row r="52" spans="1:4" ht="18" customHeight="1" x14ac:dyDescent="0.2">
      <c r="A52" s="2" t="s">
        <v>157</v>
      </c>
      <c r="B52" s="2"/>
      <c r="C52" s="2"/>
      <c r="D52" s="2"/>
    </row>
    <row r="53" spans="1:4" x14ac:dyDescent="0.2">
      <c r="A53" s="8" t="s">
        <v>118</v>
      </c>
      <c r="C53" s="23">
        <f>-C10</f>
        <v>-1131000</v>
      </c>
    </row>
    <row r="54" spans="1:4" x14ac:dyDescent="0.2">
      <c r="A54" s="8" t="s">
        <v>120</v>
      </c>
      <c r="C54" s="23">
        <f>-C11</f>
        <v>-257000</v>
      </c>
    </row>
    <row r="55" spans="1:4" x14ac:dyDescent="0.2">
      <c r="A55" s="8" t="s">
        <v>158</v>
      </c>
      <c r="C55" s="23">
        <f>-C12</f>
        <v>-691000</v>
      </c>
    </row>
    <row r="56" spans="1:4" x14ac:dyDescent="0.2">
      <c r="A56" s="8" t="s">
        <v>128</v>
      </c>
      <c r="C56" s="23">
        <f>C16</f>
        <v>97000</v>
      </c>
    </row>
    <row r="57" spans="1:4" x14ac:dyDescent="0.2">
      <c r="A57" s="8" t="s">
        <v>159</v>
      </c>
      <c r="C57" s="23">
        <f>C13</f>
        <v>1500000</v>
      </c>
    </row>
    <row r="58" spans="1:4" x14ac:dyDescent="0.2">
      <c r="A58" s="8" t="s">
        <v>126</v>
      </c>
      <c r="C58" s="23">
        <f>-C14</f>
        <v>-758000</v>
      </c>
    </row>
    <row r="59" spans="1:4" x14ac:dyDescent="0.2">
      <c r="A59" s="8" t="s">
        <v>127</v>
      </c>
      <c r="C59" s="23">
        <f>-C15</f>
        <v>-67000</v>
      </c>
    </row>
    <row r="60" spans="1:4" x14ac:dyDescent="0.2">
      <c r="A60" s="8" t="s">
        <v>160</v>
      </c>
      <c r="C60" s="23">
        <f>('Balance Sheet'!C36-'Balance Sheet'!D36+'Balance Sheet'!C45-'Balance Sheet'!D45)-'P&amp;L'!C34-((-C10)+(-C11)+(-C12)+C16+C13+(-C14)+(-C15))</f>
        <v>-154000</v>
      </c>
    </row>
    <row r="61" spans="1:4" x14ac:dyDescent="0.2">
      <c r="A61" s="8" t="s">
        <v>161</v>
      </c>
      <c r="C61" s="23">
        <f>'Balance Sheet'!C43-'Balance Sheet'!D43</f>
        <v>-2120000</v>
      </c>
    </row>
    <row r="62" spans="1:4" x14ac:dyDescent="0.2">
      <c r="A62" s="8" t="s">
        <v>162</v>
      </c>
      <c r="C62" s="23">
        <f>'Balance Sheet'!C50-'Balance Sheet'!D50</f>
        <v>1977000</v>
      </c>
    </row>
    <row r="63" spans="1:4" x14ac:dyDescent="0.2">
      <c r="A63" s="8" t="s">
        <v>163</v>
      </c>
      <c r="C63" s="23">
        <f>'Balance Sheet'!C58-'Balance Sheet'!D58</f>
        <v>-927000</v>
      </c>
    </row>
    <row r="64" spans="1:4" x14ac:dyDescent="0.2">
      <c r="A64" s="8" t="s">
        <v>164</v>
      </c>
      <c r="C64" s="23">
        <f>'Balance Sheet'!C56-'Balance Sheet'!D56</f>
        <v>462000</v>
      </c>
    </row>
    <row r="66" spans="1:4" x14ac:dyDescent="0.2">
      <c r="A66" s="11" t="s">
        <v>165</v>
      </c>
      <c r="B66" s="12"/>
      <c r="C66" s="13">
        <f>SUM(C53:C64)</f>
        <v>-2069000</v>
      </c>
      <c r="D66" s="13"/>
    </row>
    <row r="68" spans="1:4" x14ac:dyDescent="0.2">
      <c r="A68" s="25" t="s">
        <v>166</v>
      </c>
      <c r="B68" s="26"/>
      <c r="C68" s="27">
        <f>C41+C50+C66</f>
        <v>-1497000</v>
      </c>
      <c r="D68" s="28"/>
    </row>
    <row r="70" spans="1:4" x14ac:dyDescent="0.2">
      <c r="A70" s="22" t="s">
        <v>167</v>
      </c>
      <c r="C70" s="23">
        <f>'Balance Sheet'!D20</f>
        <v>4758000</v>
      </c>
    </row>
    <row r="71" spans="1:4" x14ac:dyDescent="0.2">
      <c r="A71" s="22" t="s">
        <v>168</v>
      </c>
      <c r="C71" s="23">
        <f>'Balance Sheet'!C20</f>
        <v>3261000</v>
      </c>
    </row>
    <row r="73" spans="1:4" x14ac:dyDescent="0.2">
      <c r="A73" s="16" t="s">
        <v>169</v>
      </c>
      <c r="C73" s="17">
        <f>C68-(C71-C70)</f>
        <v>0</v>
      </c>
    </row>
    <row r="75" spans="1:4" ht="75" customHeight="1" x14ac:dyDescent="0.2">
      <c r="A75" s="1" t="s">
        <v>170</v>
      </c>
      <c r="B75" s="1"/>
      <c r="C75" s="1"/>
      <c r="D75" s="1"/>
    </row>
  </sheetData>
  <mergeCells count="8">
    <mergeCell ref="A43:D43"/>
    <mergeCell ref="A52:D52"/>
    <mergeCell ref="A75:D75"/>
    <mergeCell ref="A1:D1"/>
    <mergeCell ref="A2:D2"/>
    <mergeCell ref="A3:D3"/>
    <mergeCell ref="A7:D7"/>
    <mergeCell ref="A20:D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6"/>
  <sheetViews>
    <sheetView showGridLines="0" zoomScaleNormal="100" workbookViewId="0">
      <pane xSplit="2" ySplit="6" topLeftCell="C7" activePane="bottomRight" state="frozen"/>
      <selection pane="topRight" activeCell="C1" sqref="C1"/>
      <selection pane="bottomLeft" activeCell="A7" sqref="A7"/>
      <selection pane="bottomRight"/>
    </sheetView>
  </sheetViews>
  <sheetFormatPr baseColWidth="10" defaultColWidth="8.6640625" defaultRowHeight="15" x14ac:dyDescent="0.2"/>
  <cols>
    <col min="1" max="1" width="58" customWidth="1"/>
    <col min="2" max="2" width="8" customWidth="1"/>
    <col min="3" max="4" width="16" customWidth="1"/>
  </cols>
  <sheetData>
    <row r="1" spans="1:4" ht="19.5" customHeight="1" x14ac:dyDescent="0.2">
      <c r="A1" s="5" t="s">
        <v>0</v>
      </c>
      <c r="B1" s="5"/>
      <c r="C1" s="5"/>
      <c r="D1" s="5"/>
    </row>
    <row r="2" spans="1:4" x14ac:dyDescent="0.2">
      <c r="A2" s="4" t="s">
        <v>171</v>
      </c>
      <c r="B2" s="4"/>
      <c r="C2" s="4"/>
      <c r="D2" s="4"/>
    </row>
    <row r="3" spans="1:4" ht="60" customHeight="1" x14ac:dyDescent="0.2">
      <c r="A3" s="1" t="s">
        <v>172</v>
      </c>
      <c r="B3" s="1"/>
      <c r="C3" s="1"/>
      <c r="D3" s="1"/>
    </row>
    <row r="6" spans="1:4" ht="27.75" customHeight="1" x14ac:dyDescent="0.2">
      <c r="A6" s="6" t="s">
        <v>2</v>
      </c>
      <c r="B6" s="6" t="s">
        <v>3</v>
      </c>
      <c r="C6" s="7" t="s">
        <v>4</v>
      </c>
      <c r="D6" s="7"/>
    </row>
    <row r="7" spans="1:4" ht="18" customHeight="1" x14ac:dyDescent="0.2">
      <c r="A7" s="2" t="s">
        <v>130</v>
      </c>
      <c r="B7" s="2"/>
      <c r="C7" s="2"/>
      <c r="D7" s="2"/>
    </row>
    <row r="8" spans="1:4" x14ac:dyDescent="0.2">
      <c r="A8" s="8" t="s">
        <v>173</v>
      </c>
      <c r="C8" s="23">
        <f>'P&amp;L'!C5+'P&amp;L'!C6-('Balance Sheet'!C17-'Balance Sheet'!D17)</f>
        <v>55668000</v>
      </c>
    </row>
    <row r="9" spans="1:4" x14ac:dyDescent="0.2">
      <c r="A9" s="8" t="s">
        <v>174</v>
      </c>
      <c r="C9" s="23">
        <f>'P&amp;L'!C8-('Balance Sheet'!C16-'Balance Sheet'!D16)+('Balance Sheet'!C59-'Balance Sheet'!D59)</f>
        <v>-41565000</v>
      </c>
    </row>
    <row r="10" spans="1:4" x14ac:dyDescent="0.2">
      <c r="A10" s="8" t="s">
        <v>175</v>
      </c>
      <c r="C10" s="23">
        <f>'P&amp;L'!C11</f>
        <v>-2178000</v>
      </c>
    </row>
    <row r="11" spans="1:4" x14ac:dyDescent="0.2">
      <c r="A11" s="8" t="s">
        <v>176</v>
      </c>
      <c r="C11" s="23">
        <f>'P&amp;L'!C12</f>
        <v>-1648000</v>
      </c>
    </row>
    <row r="12" spans="1:4" x14ac:dyDescent="0.2">
      <c r="A12" s="8" t="s">
        <v>177</v>
      </c>
      <c r="C12" s="23">
        <f>'P&amp;L'!C13</f>
        <v>-654000</v>
      </c>
    </row>
    <row r="13" spans="1:4" x14ac:dyDescent="0.2">
      <c r="A13" s="8" t="s">
        <v>116</v>
      </c>
      <c r="C13" s="23">
        <f>'Indirect CF'!C27</f>
        <v>93000</v>
      </c>
    </row>
    <row r="14" spans="1:4" x14ac:dyDescent="0.2">
      <c r="A14" s="8" t="s">
        <v>178</v>
      </c>
      <c r="C14" s="23">
        <f>'Indirect CF'!C28+'Indirect CF'!C29</f>
        <v>798000</v>
      </c>
    </row>
    <row r="15" spans="1:4" x14ac:dyDescent="0.2">
      <c r="A15" s="8" t="s">
        <v>179</v>
      </c>
      <c r="C15" s="23">
        <f>'Indirect CF'!C30+'Indirect CF'!C31</f>
        <v>-2472000</v>
      </c>
    </row>
    <row r="16" spans="1:4" x14ac:dyDescent="0.2">
      <c r="A16" s="8" t="s">
        <v>180</v>
      </c>
      <c r="C16" s="23">
        <f>'Indirect CF'!C32+'Indirect CF'!C33</f>
        <v>225000</v>
      </c>
    </row>
    <row r="17" spans="1:4" x14ac:dyDescent="0.2">
      <c r="A17" s="8" t="s">
        <v>181</v>
      </c>
      <c r="C17" s="23">
        <f>'Indirect CF'!C38</f>
        <v>161000</v>
      </c>
    </row>
    <row r="18" spans="1:4" x14ac:dyDescent="0.2">
      <c r="A18" s="8" t="s">
        <v>182</v>
      </c>
      <c r="C18" s="23">
        <f>'Indirect CF'!C41-(C8+C9+C10+C11+C12+C13+C14+C15+C16+C17)</f>
        <v>-4807000</v>
      </c>
    </row>
    <row r="20" spans="1:4" x14ac:dyDescent="0.2">
      <c r="A20" s="11" t="s">
        <v>149</v>
      </c>
      <c r="B20" s="12"/>
      <c r="C20" s="13">
        <f>SUM(C8:C18)</f>
        <v>3621000</v>
      </c>
      <c r="D20" s="13"/>
    </row>
    <row r="22" spans="1:4" x14ac:dyDescent="0.2">
      <c r="A22" s="16" t="s">
        <v>183</v>
      </c>
      <c r="C22" s="17">
        <f>C20-'Indirect CF'!C41</f>
        <v>0</v>
      </c>
    </row>
    <row r="24" spans="1:4" ht="18" customHeight="1" x14ac:dyDescent="0.2">
      <c r="A24" s="2" t="s">
        <v>184</v>
      </c>
      <c r="B24" s="2"/>
      <c r="C24" s="2"/>
      <c r="D24" s="2"/>
    </row>
    <row r="25" spans="1:4" x14ac:dyDescent="0.2">
      <c r="A25" s="8" t="s">
        <v>151</v>
      </c>
      <c r="C25" s="23">
        <f>'Indirect CF'!C44</f>
        <v>303000</v>
      </c>
    </row>
    <row r="26" spans="1:4" x14ac:dyDescent="0.2">
      <c r="A26" s="8" t="s">
        <v>152</v>
      </c>
      <c r="C26" s="23">
        <f>'Indirect CF'!C45</f>
        <v>-575000</v>
      </c>
    </row>
    <row r="27" spans="1:4" x14ac:dyDescent="0.2">
      <c r="A27" s="8" t="s">
        <v>153</v>
      </c>
      <c r="C27" s="23">
        <f>'Indirect CF'!C46</f>
        <v>533000</v>
      </c>
    </row>
    <row r="28" spans="1:4" x14ac:dyDescent="0.2">
      <c r="A28" s="8" t="s">
        <v>154</v>
      </c>
      <c r="C28" s="23">
        <f>'Indirect CF'!C47</f>
        <v>-2607000</v>
      </c>
    </row>
    <row r="29" spans="1:4" x14ac:dyDescent="0.2">
      <c r="A29" s="8" t="s">
        <v>155</v>
      </c>
      <c r="C29" s="23">
        <f>'Indirect CF'!C48</f>
        <v>-703000</v>
      </c>
    </row>
    <row r="31" spans="1:4" x14ac:dyDescent="0.2">
      <c r="A31" s="11" t="s">
        <v>156</v>
      </c>
      <c r="B31" s="12"/>
      <c r="C31" s="13">
        <f>SUM(C25:C29)</f>
        <v>-3049000</v>
      </c>
      <c r="D31" s="13"/>
    </row>
    <row r="33" spans="1:4" ht="18" customHeight="1" x14ac:dyDescent="0.2">
      <c r="A33" s="2" t="s">
        <v>185</v>
      </c>
      <c r="B33" s="2"/>
      <c r="C33" s="2"/>
      <c r="D33" s="2"/>
    </row>
    <row r="34" spans="1:4" x14ac:dyDescent="0.2">
      <c r="A34" s="8" t="s">
        <v>118</v>
      </c>
      <c r="C34" s="23">
        <f>'Indirect CF'!C53</f>
        <v>-1131000</v>
      </c>
    </row>
    <row r="35" spans="1:4" x14ac:dyDescent="0.2">
      <c r="A35" s="8" t="s">
        <v>120</v>
      </c>
      <c r="C35" s="23">
        <f>'Indirect CF'!C54</f>
        <v>-257000</v>
      </c>
    </row>
    <row r="36" spans="1:4" x14ac:dyDescent="0.2">
      <c r="A36" s="8" t="s">
        <v>158</v>
      </c>
      <c r="C36" s="23">
        <f>'Indirect CF'!C55</f>
        <v>-691000</v>
      </c>
    </row>
    <row r="37" spans="1:4" x14ac:dyDescent="0.2">
      <c r="A37" s="8" t="s">
        <v>128</v>
      </c>
      <c r="C37" s="23">
        <f>'Indirect CF'!C56</f>
        <v>97000</v>
      </c>
    </row>
    <row r="38" spans="1:4" x14ac:dyDescent="0.2">
      <c r="A38" s="8" t="s">
        <v>159</v>
      </c>
      <c r="C38" s="23">
        <f>'Indirect CF'!C57</f>
        <v>1500000</v>
      </c>
    </row>
    <row r="39" spans="1:4" x14ac:dyDescent="0.2">
      <c r="A39" s="8" t="s">
        <v>126</v>
      </c>
      <c r="C39" s="23">
        <f>'Indirect CF'!C58</f>
        <v>-758000</v>
      </c>
    </row>
    <row r="40" spans="1:4" x14ac:dyDescent="0.2">
      <c r="A40" s="8" t="s">
        <v>127</v>
      </c>
      <c r="C40" s="23">
        <f>'Indirect CF'!C59</f>
        <v>-67000</v>
      </c>
    </row>
    <row r="41" spans="1:4" x14ac:dyDescent="0.2">
      <c r="A41" s="8" t="s">
        <v>160</v>
      </c>
      <c r="C41" s="23">
        <f>'Indirect CF'!C60</f>
        <v>-154000</v>
      </c>
    </row>
    <row r="42" spans="1:4" x14ac:dyDescent="0.2">
      <c r="A42" s="8" t="s">
        <v>161</v>
      </c>
      <c r="C42" s="23">
        <f>'Indirect CF'!C61</f>
        <v>-2120000</v>
      </c>
    </row>
    <row r="43" spans="1:4" x14ac:dyDescent="0.2">
      <c r="A43" s="8" t="s">
        <v>162</v>
      </c>
      <c r="C43" s="23">
        <f>'Indirect CF'!C62</f>
        <v>1977000</v>
      </c>
    </row>
    <row r="44" spans="1:4" x14ac:dyDescent="0.2">
      <c r="A44" s="8" t="s">
        <v>163</v>
      </c>
      <c r="C44" s="23">
        <f>'Indirect CF'!C63</f>
        <v>-927000</v>
      </c>
    </row>
    <row r="45" spans="1:4" x14ac:dyDescent="0.2">
      <c r="A45" s="8" t="s">
        <v>164</v>
      </c>
      <c r="C45" s="23">
        <f>'Indirect CF'!C64</f>
        <v>462000</v>
      </c>
    </row>
    <row r="47" spans="1:4" x14ac:dyDescent="0.2">
      <c r="A47" s="11" t="s">
        <v>165</v>
      </c>
      <c r="B47" s="12"/>
      <c r="C47" s="13">
        <f>SUM(C34:C45)</f>
        <v>-2069000</v>
      </c>
      <c r="D47" s="13"/>
    </row>
    <row r="49" spans="1:4" x14ac:dyDescent="0.2">
      <c r="A49" s="25" t="s">
        <v>166</v>
      </c>
      <c r="B49" s="26"/>
      <c r="C49" s="27">
        <f>C20+C31+C47</f>
        <v>-1497000</v>
      </c>
      <c r="D49" s="28"/>
    </row>
    <row r="51" spans="1:4" x14ac:dyDescent="0.2">
      <c r="A51" s="22" t="s">
        <v>167</v>
      </c>
      <c r="C51" s="23">
        <f>'Balance Sheet'!D20</f>
        <v>4758000</v>
      </c>
    </row>
    <row r="52" spans="1:4" x14ac:dyDescent="0.2">
      <c r="A52" s="22" t="s">
        <v>168</v>
      </c>
      <c r="C52" s="23">
        <f>'Balance Sheet'!C20</f>
        <v>3261000</v>
      </c>
    </row>
    <row r="54" spans="1:4" x14ac:dyDescent="0.2">
      <c r="A54" s="16" t="s">
        <v>169</v>
      </c>
      <c r="C54" s="17">
        <f>C49-(C52-C51)</f>
        <v>0</v>
      </c>
    </row>
    <row r="56" spans="1:4" ht="60" customHeight="1" x14ac:dyDescent="0.2">
      <c r="A56" s="1" t="s">
        <v>186</v>
      </c>
      <c r="B56" s="1"/>
      <c r="C56" s="1"/>
      <c r="D56" s="1"/>
    </row>
  </sheetData>
  <mergeCells count="7">
    <mergeCell ref="A33:D33"/>
    <mergeCell ref="A56:D56"/>
    <mergeCell ref="A1:D1"/>
    <mergeCell ref="A2:D2"/>
    <mergeCell ref="A3:D3"/>
    <mergeCell ref="A7:D7"/>
    <mergeCell ref="A24:D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P&amp;L</vt:lpstr>
      <vt:lpstr>Balance Sheet</vt:lpstr>
      <vt:lpstr>Indirect CF</vt:lpstr>
      <vt:lpstr>Direct 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angeles barrios</cp:lastModifiedBy>
  <cp:revision>0</cp:revision>
  <dcterms:created xsi:type="dcterms:W3CDTF">2026-07-22T07:03:25Z</dcterms:created>
  <dcterms:modified xsi:type="dcterms:W3CDTF">2026-07-22T15:07:26Z</dcterms:modified>
  <dc:language>en-US</dc:language>
</cp:coreProperties>
</file>